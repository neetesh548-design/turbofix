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Machines" sheetId="2" state="visible" r:id="rId2"/>
    <sheet name="Tickets" sheetId="3" state="visible" r:id="rId3"/>
    <sheet name="MachineEvents" sheetId="4" state="visible" r:id="rId4"/>
    <sheet name="Users" sheetId="5" state="visible" r:id="rId5"/>
    <sheet name="Documents" sheetId="6" state="visible" r:id="rId6"/>
    <sheet name="SpareParts" sheetId="7" state="visible" r:id="rId7"/>
    <sheet name="Consumables" sheetId="8" state="visible" r:id="rId8"/>
    <sheet name="Dashboard" sheetId="9" state="visible" r:id="rId9"/>
    <sheet name="Settings" sheetId="10" state="visible" r:id="rId10"/>
    <sheet name="AIRecords"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hh:mm"/>
  </numFmts>
  <fonts count="6">
    <font>
      <name val="Calibri"/>
      <family val="2"/>
      <color theme="1"/>
      <sz val="11"/>
      <scheme val="minor"/>
    </font>
    <font>
      <b val="1"/>
      <color rgb="00FFFFFF"/>
    </font>
    <font>
      <b val="1"/>
      <sz val="12"/>
    </font>
    <font>
      <b val="1"/>
    </font>
    <font>
      <b val="1"/>
      <sz val="11"/>
    </font>
    <font>
      <i val="1"/>
      <color rgb="00808080"/>
      <sz val="9"/>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165"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0" fontId="4" fillId="0" borderId="0" pivotButton="0" quotePrefix="0" xfId="0"/>
    <xf numFmtId="0" fontId="5" fillId="0" borderId="0" applyAlignment="1" pivotButton="0" quotePrefix="0" xfId="0">
      <alignment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0" customWidth="1" min="3" max="3"/>
    <col width="16" customWidth="1" min="4" max="4"/>
    <col width="14" customWidth="1" min="5" max="5"/>
    <col width="10" customWidth="1" min="6" max="6"/>
  </cols>
  <sheetData>
    <row r="1">
      <c r="A1" s="1" t="inlineStr">
        <is>
          <t>company_code</t>
        </is>
      </c>
      <c r="B1" s="1" t="inlineStr">
        <is>
          <t>company_name</t>
        </is>
      </c>
      <c r="C1" s="1" t="inlineStr">
        <is>
          <t>admin_contact_phone</t>
        </is>
      </c>
      <c r="D1" s="1" t="inlineStr">
        <is>
          <t>onboarded_date</t>
        </is>
      </c>
      <c r="E1" s="1" t="inlineStr">
        <is>
          <t>machine_quota</t>
        </is>
      </c>
      <c r="F1" s="1" t="inlineStr">
        <is>
          <t>approved</t>
        </is>
      </c>
    </row>
    <row r="2">
      <c r="A2" t="inlineStr">
        <is>
          <t>ACME3</t>
        </is>
      </c>
      <c r="B2" t="inlineStr">
        <is>
          <t>Acme Forge Pvt Ltd</t>
        </is>
      </c>
      <c r="C2" t="inlineStr">
        <is>
          <t>+919820012345</t>
        </is>
      </c>
      <c r="D2" s="9" t="n">
        <v>46037</v>
      </c>
      <c r="E2" t="n">
        <v>5</v>
      </c>
      <c r="F2" t="inlineStr">
        <is>
          <t>yes</t>
        </is>
      </c>
    </row>
    <row r="3">
      <c r="A3" t="inlineStr">
        <is>
          <t>BETA1</t>
        </is>
      </c>
      <c r="B3" t="inlineStr">
        <is>
          <t>Beta Precision Works</t>
        </is>
      </c>
      <c r="C3" t="inlineStr">
        <is>
          <t>+919820098765</t>
        </is>
      </c>
      <c r="D3" s="9" t="n">
        <v>46082</v>
      </c>
      <c r="E3" t="n">
        <v>3</v>
      </c>
      <c r="F3" t="inlineStr">
        <is>
          <t>yes</t>
        </is>
      </c>
    </row>
    <row r="4">
      <c r="A4" t="inlineStr">
        <is>
          <t>' OR '1'='1</t>
        </is>
      </c>
      <c r="B4" t="inlineStr">
        <is>
          <t>&lt;script&gt;alert('XSS')&lt;/script&gt; Heavy Industries</t>
        </is>
      </c>
      <c r="C4" t="inlineStr">
        <is>
          <t>9999999999</t>
        </is>
      </c>
      <c r="D4" t="inlineStr">
        <is>
          <t>2026-07-30</t>
        </is>
      </c>
      <c r="E4" t="n">
        <v>5</v>
      </c>
      <c r="F4" t="inlineStr">
        <is>
          <t>no</t>
        </is>
      </c>
    </row>
    <row r="5">
      <c r="A5" t="inlineStr">
        <is>
          <t>STRESS1</t>
        </is>
      </c>
      <c r="B5"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5" t="inlineStr">
        <is>
          <t>9876543210</t>
        </is>
      </c>
      <c r="D5" t="inlineStr">
        <is>
          <t>2026-07-30</t>
        </is>
      </c>
      <c r="E5" t="n">
        <v>5</v>
      </c>
      <c r="F5" t="inlineStr">
        <is>
          <t>no</t>
        </is>
      </c>
    </row>
    <row r="6">
      <c r="A6" t="inlineStr">
        <is>
          <t>NEWFAC1</t>
        </is>
      </c>
      <c r="B6" t="inlineStr">
        <is>
          <t>New Factory Pvt Ltd</t>
        </is>
      </c>
      <c r="C6" t="inlineStr">
        <is>
          <t>9876500001</t>
        </is>
      </c>
      <c r="D6" t="inlineStr">
        <is>
          <t>2026-07-30</t>
        </is>
      </c>
      <c r="E6" t="n">
        <v>5</v>
      </c>
      <c r="F6" t="inlineStr">
        <is>
          <t>no</t>
        </is>
      </c>
    </row>
    <row r="7">
      <c r="A7" t="inlineStr">
        <is>
          <t>DEMO43FAA5</t>
        </is>
      </c>
      <c r="B7" t="inlineStr">
        <is>
          <t>New Factory Pvt Ltd</t>
        </is>
      </c>
      <c r="C7" t="inlineStr">
        <is>
          <t>987656973</t>
        </is>
      </c>
      <c r="D7" t="inlineStr">
        <is>
          <t>2026-07-30</t>
        </is>
      </c>
      <c r="E7" t="n">
        <v>5</v>
      </c>
      <c r="F7" t="inlineStr">
        <is>
          <t>yes</t>
        </is>
      </c>
    </row>
    <row r="8">
      <c r="A8" t="inlineStr">
        <is>
          <t>DEMOCA7F26</t>
        </is>
      </c>
      <c r="B8" t="inlineStr">
        <is>
          <t>New Factory Pvt Ltd</t>
        </is>
      </c>
      <c r="C8" t="inlineStr">
        <is>
          <t>987661855</t>
        </is>
      </c>
      <c r="D8" t="inlineStr">
        <is>
          <t>2026-07-30</t>
        </is>
      </c>
      <c r="E8" t="n">
        <v>5</v>
      </c>
      <c r="F8" t="inlineStr">
        <is>
          <t>yes</t>
        </is>
      </c>
    </row>
    <row r="9">
      <c r="A9" t="inlineStr">
        <is>
          <t>DEMOD651A2</t>
        </is>
      </c>
      <c r="B9" t="inlineStr">
        <is>
          <t>New Factory Pvt Ltd</t>
        </is>
      </c>
      <c r="C9" t="inlineStr">
        <is>
          <t>987641157</t>
        </is>
      </c>
      <c r="D9" t="inlineStr">
        <is>
          <t>2026-07-30</t>
        </is>
      </c>
      <c r="E9" t="n">
        <v>5</v>
      </c>
      <c r="F9" t="inlineStr">
        <is>
          <t>yes</t>
        </is>
      </c>
    </row>
    <row r="10">
      <c r="A10" t="inlineStr">
        <is>
          <t>DEMOF3C6C1</t>
        </is>
      </c>
      <c r="B10" t="inlineStr">
        <is>
          <t>New Factory Pvt Ltd</t>
        </is>
      </c>
      <c r="C10" t="inlineStr">
        <is>
          <t>987679846</t>
        </is>
      </c>
      <c r="D10" t="inlineStr">
        <is>
          <t>2026-07-30</t>
        </is>
      </c>
      <c r="E10" t="n">
        <v>5</v>
      </c>
      <c r="F10" t="inlineStr">
        <is>
          <t>yes</t>
        </is>
      </c>
    </row>
    <row r="11">
      <c r="A11" t="inlineStr">
        <is>
          <t>DEMOA2B410</t>
        </is>
      </c>
      <c r="B11" t="inlineStr">
        <is>
          <t>New Factory Pvt Ltd</t>
        </is>
      </c>
      <c r="C11" t="inlineStr">
        <is>
          <t>987661948</t>
        </is>
      </c>
      <c r="D11" t="inlineStr">
        <is>
          <t>2026-07-31</t>
        </is>
      </c>
      <c r="E11" t="n">
        <v>5</v>
      </c>
      <c r="F11" t="inlineStr">
        <is>
          <t>no</t>
        </is>
      </c>
    </row>
    <row r="12">
      <c r="A12" t="inlineStr">
        <is>
          <t>DEMO47C94C</t>
        </is>
      </c>
      <c r="B12" t="inlineStr">
        <is>
          <t>New Factory Pvt Ltd</t>
        </is>
      </c>
      <c r="C12" t="inlineStr">
        <is>
          <t>987648038</t>
        </is>
      </c>
      <c r="D12" t="inlineStr">
        <is>
          <t>2026-07-31</t>
        </is>
      </c>
      <c r="E12" t="n">
        <v>5</v>
      </c>
      <c r="F12" t="inlineStr">
        <is>
          <t>yes</t>
        </is>
      </c>
    </row>
    <row r="13">
      <c r="A13" t="inlineStr">
        <is>
          <t>SK_PVT_LTD</t>
        </is>
      </c>
      <c r="B13" t="inlineStr">
        <is>
          <t>SK Pvt Ltd</t>
        </is>
      </c>
      <c r="C13" t="inlineStr">
        <is>
          <t>+919876543210</t>
        </is>
      </c>
      <c r="D13" t="inlineStr">
        <is>
          <t>2026-08-03</t>
        </is>
      </c>
      <c r="E13" t="n">
        <v>15</v>
      </c>
      <c r="F13" t="inlineStr">
        <is>
          <t>yes</t>
        </is>
      </c>
    </row>
    <row r="14">
      <c r="A14" t="inlineStr">
        <is>
          <t>SK_PVT_LTD</t>
        </is>
      </c>
      <c r="B14" t="inlineStr">
        <is>
          <t>SK Pvt Ltd</t>
        </is>
      </c>
      <c r="C14" t="inlineStr">
        <is>
          <t>+919876543210</t>
        </is>
      </c>
      <c r="D14" t="inlineStr">
        <is>
          <t>2026-08-03</t>
        </is>
      </c>
      <c r="E14" t="n">
        <v>15</v>
      </c>
      <c r="F14" t="inlineStr">
        <is>
          <t>yes</t>
        </is>
      </c>
    </row>
  </sheetData>
  <dataValidations count="1">
    <dataValidation sqref="F2:F1000"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0" customWidth="1" min="3" max="3"/>
    <col width="16" customWidth="1" min="4" max="4"/>
    <col width="22" customWidth="1" min="5" max="5"/>
    <col width="18" customWidth="1" min="6" max="6"/>
    <col width="18" customWidth="1" min="7" max="7"/>
    <col width="18" customWidth="1" min="8" max="8"/>
    <col hidden="1" width="16" customWidth="1" min="9" max="9"/>
  </cols>
  <sheetData>
    <row r="1">
      <c r="A1" s="1" t="inlineStr">
        <is>
          <t>machine_id</t>
        </is>
      </c>
      <c r="B1" s="1" t="inlineStr">
        <is>
          <t>company_code</t>
        </is>
      </c>
      <c r="C1" s="1" t="inlineStr">
        <is>
          <t>machine_name</t>
        </is>
      </c>
      <c r="D1" s="1" t="inlineStr">
        <is>
          <t>location</t>
        </is>
      </c>
      <c r="E1" s="1" t="inlineStr">
        <is>
          <t>assigned_technician_phone</t>
        </is>
      </c>
      <c r="F1" s="1" t="inlineStr">
        <is>
          <t>informed_phone_1</t>
        </is>
      </c>
      <c r="G1" s="1" t="inlineStr">
        <is>
          <t>informed_phone_2</t>
        </is>
      </c>
      <c r="H1" s="1" t="inlineStr">
        <is>
          <t>informed_phone_3</t>
        </is>
      </c>
      <c r="I1" s="1" t="inlineStr">
        <is>
          <t>has_open_tickets</t>
        </is>
      </c>
    </row>
    <row r="2">
      <c r="A2" t="inlineStr">
        <is>
          <t>TF-ACME3-M001</t>
        </is>
      </c>
      <c r="B2" t="inlineStr">
        <is>
          <t>ACME3</t>
        </is>
      </c>
      <c r="C2" t="inlineStr">
        <is>
          <t>CNC Lathe 1</t>
        </is>
      </c>
      <c r="D2" t="inlineStr">
        <is>
          <t>Shop Floor A</t>
        </is>
      </c>
      <c r="E2" t="inlineStr">
        <is>
          <t>+919812340001</t>
        </is>
      </c>
      <c r="F2" t="inlineStr">
        <is>
          <t>+919812340010</t>
        </is>
      </c>
      <c r="G2" t="inlineStr">
        <is>
          <t>+919812340011</t>
        </is>
      </c>
      <c r="I2">
        <f>COUNTIFS(Tickets!$B:$B,A2,Tickets!$J:$J,"Open")</f>
        <v/>
      </c>
    </row>
    <row r="3">
      <c r="A3" t="inlineStr">
        <is>
          <t>TF-ACME3-M002</t>
        </is>
      </c>
      <c r="B3" t="inlineStr">
        <is>
          <t>ACME3</t>
        </is>
      </c>
      <c r="C3" t="inlineStr">
        <is>
          <t>Hydraulic Press</t>
        </is>
      </c>
      <c r="D3" t="inlineStr">
        <is>
          <t>Shop Floor B</t>
        </is>
      </c>
      <c r="E3" t="inlineStr">
        <is>
          <t>+919812340002</t>
        </is>
      </c>
      <c r="F3" t="inlineStr">
        <is>
          <t>+919812340010</t>
        </is>
      </c>
      <c r="G3" t="inlineStr">
        <is>
          <t>+919812340011</t>
        </is>
      </c>
      <c r="I3">
        <f>COUNTIFS(Tickets!$B:$B,A3,Tickets!$J:$J,"Open")</f>
        <v/>
      </c>
    </row>
    <row r="4">
      <c r="A4" t="inlineStr">
        <is>
          <t>TF-BETA1-M001</t>
        </is>
      </c>
      <c r="B4" t="inlineStr">
        <is>
          <t>BETA1</t>
        </is>
      </c>
      <c r="C4" t="inlineStr">
        <is>
          <t>Grinding Machine</t>
        </is>
      </c>
      <c r="D4" t="inlineStr">
        <is>
          <t>Unit 2</t>
        </is>
      </c>
      <c r="E4" t="inlineStr">
        <is>
          <t>+919812340003</t>
        </is>
      </c>
      <c r="F4" t="inlineStr">
        <is>
          <t>+919812340020</t>
        </is>
      </c>
      <c r="I4">
        <f>COUNTIFS(Tickets!$B:$B,A4,Tickets!$J:$J,"Open")</f>
        <v/>
      </c>
    </row>
    <row r="5">
      <c r="A5" t="inlineStr">
        <is>
          <t>TF-BETA1-M002</t>
        </is>
      </c>
      <c r="B5" t="inlineStr">
        <is>
          <t>BETA1</t>
        </is>
      </c>
      <c r="C5" t="inlineStr">
        <is>
          <t>Compressor</t>
        </is>
      </c>
      <c r="D5" t="inlineStr">
        <is>
          <t>Utility Room</t>
        </is>
      </c>
      <c r="E5" t="inlineStr">
        <is>
          <t>+919812340004</t>
        </is>
      </c>
      <c r="F5" t="inlineStr">
        <is>
          <t>+919812340020</t>
        </is>
      </c>
      <c r="I5">
        <f>COUNTIFS(Tickets!$B:$B,A5,Tickets!$J:$J,"Open")</f>
        <v/>
      </c>
    </row>
    <row r="6">
      <c r="A6" t="inlineStr">
        <is>
          <t>TF-SK_PVT_LTD-M001</t>
        </is>
      </c>
      <c r="B6" t="inlineStr">
        <is>
          <t>SK_PVT_LTD</t>
        </is>
      </c>
      <c r="C6" t="inlineStr">
        <is>
          <t>SK-LASER-01 (Bystronic Fiber Laser 6kW)</t>
        </is>
      </c>
      <c r="D6" t="inlineStr">
        <is>
          <t>Sheet Metal Bay 1 - Station L1</t>
        </is>
      </c>
      <c r="E6" t="inlineStr">
        <is>
          <t>+919876543220</t>
        </is>
      </c>
      <c r="F6" t="inlineStr">
        <is>
          <t>+919876543214</t>
        </is>
      </c>
      <c r="G6" t="inlineStr">
        <is>
          <t>+919876543212</t>
        </is>
      </c>
      <c r="H6" t="inlineStr">
        <is>
          <t>+919876543211</t>
        </is>
      </c>
      <c r="I6">
        <f>COUNTIFS(Tickets!$B:$B,A6,Tickets!$J:$J,"Open")</f>
        <v/>
      </c>
    </row>
    <row r="7">
      <c r="A7" t="inlineStr">
        <is>
          <t>TF-SK_PVT_LTD-M002</t>
        </is>
      </c>
      <c r="B7" t="inlineStr">
        <is>
          <t>SK_PVT_LTD</t>
        </is>
      </c>
      <c r="C7" t="inlineStr">
        <is>
          <t>SK-LASER-02 (Trumpf TruLaser 3030 8kW)</t>
        </is>
      </c>
      <c r="D7" t="inlineStr">
        <is>
          <t>Sheet Metal Bay 1 - Station L2</t>
        </is>
      </c>
      <c r="E7" t="inlineStr">
        <is>
          <t>+919876543221</t>
        </is>
      </c>
      <c r="F7" t="inlineStr">
        <is>
          <t>+919876543214</t>
        </is>
      </c>
      <c r="G7" t="inlineStr">
        <is>
          <t>+919876543212</t>
        </is>
      </c>
      <c r="H7" t="inlineStr">
        <is>
          <t>+919876543211</t>
        </is>
      </c>
      <c r="I7">
        <f>COUNTIFS(Tickets!$B:$B,A7,Tickets!$J:$J,"Open")</f>
        <v/>
      </c>
    </row>
    <row r="8">
      <c r="A8" t="inlineStr">
        <is>
          <t>TF-SK_PVT_LTD-M003</t>
        </is>
      </c>
      <c r="B8" t="inlineStr">
        <is>
          <t>SK_PVT_LTD</t>
        </is>
      </c>
      <c r="C8" t="inlineStr">
        <is>
          <t>SK-LASER-03 (Amada Ensis 3012 3kW)</t>
        </is>
      </c>
      <c r="D8" t="inlineStr">
        <is>
          <t>Sheet Metal Bay 2 - Station L3</t>
        </is>
      </c>
      <c r="E8" t="inlineStr">
        <is>
          <t>+919876543222</t>
        </is>
      </c>
      <c r="F8" t="inlineStr">
        <is>
          <t>+919876543214</t>
        </is>
      </c>
      <c r="G8" t="inlineStr">
        <is>
          <t>+919876543212</t>
        </is>
      </c>
      <c r="H8" t="inlineStr">
        <is>
          <t>+919876543211</t>
        </is>
      </c>
      <c r="I8">
        <f>COUNTIFS(Tickets!$B:$B,A8,Tickets!$J:$J,"Open")</f>
        <v/>
      </c>
    </row>
    <row r="9">
      <c r="A9" t="inlineStr">
        <is>
          <t>TF-SK_PVT_LTD-M004</t>
        </is>
      </c>
      <c r="B9" t="inlineStr">
        <is>
          <t>SK_PVT_LTD</t>
        </is>
      </c>
      <c r="C9" t="inlineStr">
        <is>
          <t>SK-LASER-04 (Mazak Optiplex 3015 10kW)</t>
        </is>
      </c>
      <c r="D9" t="inlineStr">
        <is>
          <t>Sheet Metal Bay 2 - Station L4</t>
        </is>
      </c>
      <c r="E9" t="inlineStr">
        <is>
          <t>+919876543223</t>
        </is>
      </c>
      <c r="F9" t="inlineStr">
        <is>
          <t>+919876543214</t>
        </is>
      </c>
      <c r="G9" t="inlineStr">
        <is>
          <t>+919876543212</t>
        </is>
      </c>
      <c r="H9" t="inlineStr">
        <is>
          <t>+919876543211</t>
        </is>
      </c>
      <c r="I9">
        <f>COUNTIFS(Tickets!$B:$B,A9,Tickets!$J:$J,"Open")</f>
        <v/>
      </c>
    </row>
    <row r="10">
      <c r="A10" t="inlineStr">
        <is>
          <t>TF-SK_PVT_LTD-M005</t>
        </is>
      </c>
      <c r="B10" t="inlineStr">
        <is>
          <t>SK_PVT_LTD</t>
        </is>
      </c>
      <c r="C10" t="inlineStr">
        <is>
          <t>SK-CO2-01 (Trumpf TruCoax 2000 CO2 Cutter)</t>
        </is>
      </c>
      <c r="D10" t="inlineStr">
        <is>
          <t>Heavy Fabrication Bay - Station C1</t>
        </is>
      </c>
      <c r="E10" t="inlineStr">
        <is>
          <t>+919876543224</t>
        </is>
      </c>
      <c r="F10" t="inlineStr">
        <is>
          <t>+919876543215</t>
        </is>
      </c>
      <c r="G10" t="inlineStr">
        <is>
          <t>+919876543213</t>
        </is>
      </c>
      <c r="H10" t="inlineStr">
        <is>
          <t>+919876543211</t>
        </is>
      </c>
      <c r="I10">
        <f>COUNTIFS(Tickets!$B:$B,A10,Tickets!$J:$J,"Open")</f>
        <v/>
      </c>
    </row>
    <row r="11">
      <c r="A11" t="inlineStr">
        <is>
          <t>TF-SK_PVT_LTD-M006</t>
        </is>
      </c>
      <c r="B11" t="inlineStr">
        <is>
          <t>SK_PVT_LTD</t>
        </is>
      </c>
      <c r="C11" t="inlineStr">
        <is>
          <t>SK-CO2-02 (Bystronic Bysprint 3015 CO2)</t>
        </is>
      </c>
      <c r="D11" t="inlineStr">
        <is>
          <t>Heavy Fabrication Bay - Station C2</t>
        </is>
      </c>
      <c r="E11" t="inlineStr">
        <is>
          <t>+919876543225</t>
        </is>
      </c>
      <c r="F11" t="inlineStr">
        <is>
          <t>+919876543215</t>
        </is>
      </c>
      <c r="G11" t="inlineStr">
        <is>
          <t>+919876543213</t>
        </is>
      </c>
      <c r="H11" t="inlineStr">
        <is>
          <t>+919876543211</t>
        </is>
      </c>
      <c r="I11">
        <f>COUNTIFS(Tickets!$B:$B,A11,Tickets!$J:$J,"Open")</f>
        <v/>
      </c>
    </row>
    <row r="12">
      <c r="A12" t="inlineStr">
        <is>
          <t>TF-SK_PVT_LTD-M007</t>
        </is>
      </c>
      <c r="B12" t="inlineStr">
        <is>
          <t>SK_PVT_LTD</t>
        </is>
      </c>
      <c r="C12" t="inlineStr">
        <is>
          <t>SK-WATERJET-01 (Flow Mach 500 Abrasive Waterjet)</t>
        </is>
      </c>
      <c r="D12" t="inlineStr">
        <is>
          <t>Precision Cutting Cell - Station W1</t>
        </is>
      </c>
      <c r="E12" t="inlineStr">
        <is>
          <t>+919876543226</t>
        </is>
      </c>
      <c r="F12" t="inlineStr">
        <is>
          <t>+919876543215</t>
        </is>
      </c>
      <c r="G12" t="inlineStr">
        <is>
          <t>+919876543213</t>
        </is>
      </c>
      <c r="H12" t="inlineStr">
        <is>
          <t>+919876543211</t>
        </is>
      </c>
      <c r="I12">
        <f>COUNTIFS(Tickets!$B:$B,A12,Tickets!$J:$J,"Open")</f>
        <v/>
      </c>
    </row>
    <row r="13">
      <c r="A13" t="inlineStr">
        <is>
          <t>TF-SK_PVT_LTD-M008</t>
        </is>
      </c>
      <c r="B13" t="inlineStr">
        <is>
          <t>SK_PVT_LTD</t>
        </is>
      </c>
      <c r="C13" t="inlineStr">
        <is>
          <t>SK-PLASMA-01 (ESAB Suprarex Heavy Duty Plasma)</t>
        </is>
      </c>
      <c r="D13" t="inlineStr">
        <is>
          <t>Structural Steel Shop - Station P1</t>
        </is>
      </c>
      <c r="E13" t="inlineStr">
        <is>
          <t>+919876543227</t>
        </is>
      </c>
      <c r="F13" t="inlineStr">
        <is>
          <t>+919876543216</t>
        </is>
      </c>
      <c r="G13" t="inlineStr">
        <is>
          <t>+919876543213</t>
        </is>
      </c>
      <c r="H13" t="inlineStr">
        <is>
          <t>+919876543211</t>
        </is>
      </c>
      <c r="I13">
        <f>COUNTIFS(Tickets!$B:$B,A13,Tickets!$J:$J,"Open")</f>
        <v/>
      </c>
    </row>
  </sheetData>
  <dataValidations count="1">
    <dataValidation sqref="B2:B1000" showDropDown="0" showInputMessage="0" showErrorMessage="0" allowBlank="0" type="list">
      <formula1>=Companies!$A$2:$A$1000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20" customWidth="1" min="4" max="4"/>
    <col width="18" customWidth="1" min="5" max="5"/>
    <col width="18" customWidth="1" min="6" max="6"/>
    <col width="28" customWidth="1" min="7" max="7"/>
    <col width="30" customWidth="1" min="8" max="8"/>
    <col width="10" customWidth="1" min="9" max="9"/>
    <col width="10" customWidth="1" min="10" max="10"/>
    <col width="18" customWidth="1" min="11" max="11"/>
    <col width="14" customWidth="1" min="12" max="12"/>
    <col width="20" customWidth="1" min="13" max="13"/>
    <col width="20" customWidth="1" min="14" max="14"/>
    <col width="10" customWidth="1" min="15" max="15"/>
    <col width="18" customWidth="1" min="16" max="16"/>
  </cols>
  <sheetData>
    <row r="1">
      <c r="A1" s="1" t="inlineStr">
        <is>
          <t>ticket_id</t>
        </is>
      </c>
      <c r="B1" s="1" t="inlineStr">
        <is>
          <t>machine_id</t>
        </is>
      </c>
      <c r="C1" s="1" t="inlineStr">
        <is>
          <t>company_code</t>
        </is>
      </c>
      <c r="D1" s="1" t="inlineStr">
        <is>
          <t>machine_name</t>
        </is>
      </c>
      <c r="E1" s="1" t="inlineStr">
        <is>
          <t>reported_at</t>
        </is>
      </c>
      <c r="F1" s="1" t="inlineStr">
        <is>
          <t>reporter_phone</t>
        </is>
      </c>
      <c r="G1" s="1" t="inlineStr">
        <is>
          <t>description</t>
        </is>
      </c>
      <c r="H1" s="1" t="inlineStr">
        <is>
          <t>ai_summary</t>
        </is>
      </c>
      <c r="I1" s="1" t="inlineStr">
        <is>
          <t>urgency</t>
        </is>
      </c>
      <c r="J1" s="1" t="inlineStr">
        <is>
          <t>status</t>
        </is>
      </c>
      <c r="K1" s="1" t="inlineStr">
        <is>
          <t>closed_at</t>
        </is>
      </c>
      <c r="L1" s="1" t="inlineStr">
        <is>
          <t>hours_to_fix</t>
        </is>
      </c>
      <c r="M1" s="1" t="inlineStr">
        <is>
          <t>voice_note_media_id</t>
        </is>
      </c>
      <c r="N1" s="1" t="inlineStr">
        <is>
          <t>photo_media_id</t>
        </is>
      </c>
      <c r="O1" s="1" t="inlineStr">
        <is>
          <t>language</t>
        </is>
      </c>
      <c r="P1" s="1" t="inlineStr">
        <is>
          <t>closed_by</t>
        </is>
      </c>
    </row>
    <row r="2">
      <c r="A2" t="inlineStr">
        <is>
          <t>T001</t>
        </is>
      </c>
      <c r="B2" t="inlineStr">
        <is>
          <t>TF-ACME3-M001</t>
        </is>
      </c>
      <c r="C2">
        <f>VLOOKUP(B2,Machines!$A:$C,2,FALSE)</f>
        <v/>
      </c>
      <c r="D2">
        <f>VLOOKUP(B2,Machines!$A:$C,3,FALSE)</f>
        <v/>
      </c>
      <c r="E2" s="10" t="n">
        <v>46204.375</v>
      </c>
      <c r="F2" t="inlineStr">
        <is>
          <t>+919900011111</t>
        </is>
      </c>
      <c r="G2" t="inlineStr">
        <is>
          <t>Loud grinding noise from spindle</t>
        </is>
      </c>
      <c r="H2" t="inlineStr">
        <is>
          <t>Spindle bearing wear suspected; medium urgency; inspect and lubricate/replace bearing</t>
        </is>
      </c>
      <c r="I2" t="inlineStr">
        <is>
          <t>Medium</t>
        </is>
      </c>
      <c r="J2" t="inlineStr">
        <is>
          <t>Open</t>
        </is>
      </c>
      <c r="L2">
        <f>IF(J2="Closed",(K2-E2)*24,"")</f>
        <v/>
      </c>
      <c r="O2" t="inlineStr">
        <is>
          <t>hi</t>
        </is>
      </c>
    </row>
    <row r="3">
      <c r="A3" t="inlineStr">
        <is>
          <t>T002</t>
        </is>
      </c>
      <c r="B3" t="inlineStr">
        <is>
          <t>TF-ACME3-M002</t>
        </is>
      </c>
      <c r="C3">
        <f>VLOOKUP(B3,Machines!$A:$C,2,FALSE)</f>
        <v/>
      </c>
      <c r="D3">
        <f>VLOOKUP(B3,Machines!$A:$C,3,FALSE)</f>
        <v/>
      </c>
      <c r="E3" s="10" t="n">
        <v>46208.41666666666</v>
      </c>
      <c r="F3" t="inlineStr">
        <is>
          <t>+919900011112</t>
        </is>
      </c>
      <c r="G3" t="inlineStr">
        <is>
          <t>Press not building full pressure</t>
        </is>
      </c>
      <c r="H3" t="inlineStr">
        <is>
          <t>Hydraulic seal leak likely; high urgency; check seals and fluid level</t>
        </is>
      </c>
      <c r="I3" t="inlineStr">
        <is>
          <t>Medium</t>
        </is>
      </c>
      <c r="J3" t="inlineStr">
        <is>
          <t>Closed</t>
        </is>
      </c>
      <c r="K3" s="10" t="n">
        <v>46209.58333333334</v>
      </c>
      <c r="L3">
        <f>IF(J3="Closed",(K3-E3)*24,"")</f>
        <v/>
      </c>
      <c r="O3" t="inlineStr">
        <is>
          <t>en</t>
        </is>
      </c>
      <c r="P3" t="inlineStr">
        <is>
          <t>+919820012345</t>
        </is>
      </c>
    </row>
    <row r="4">
      <c r="A4" t="inlineStr">
        <is>
          <t>T003</t>
        </is>
      </c>
      <c r="B4" t="inlineStr">
        <is>
          <t>TF-BETA1-M001</t>
        </is>
      </c>
      <c r="C4">
        <f>VLOOKUP(B4,Machines!$A:$C,2,FALSE)</f>
        <v/>
      </c>
      <c r="D4">
        <f>VLOOKUP(B4,Machines!$A:$C,3,FALSE)</f>
        <v/>
      </c>
      <c r="E4" s="10" t="n">
        <v>46210.33333333334</v>
      </c>
      <c r="F4" t="inlineStr">
        <is>
          <t>+919900011113</t>
        </is>
      </c>
      <c r="G4" t="inlineStr">
        <is>
          <t>Grinding wheel wobble</t>
        </is>
      </c>
      <c r="H4" t="inlineStr">
        <is>
          <t>Wheel balance/mounting issue; medium urgency; re-mount and balance wheel</t>
        </is>
      </c>
      <c r="I4" t="inlineStr">
        <is>
          <t>Medium</t>
        </is>
      </c>
      <c r="J4" t="inlineStr">
        <is>
          <t>Closed</t>
        </is>
      </c>
      <c r="K4" s="10" t="n">
        <v>46210.47916666666</v>
      </c>
      <c r="L4">
        <f>IF(J4="Closed",(K4-E4)*24,"")</f>
        <v/>
      </c>
      <c r="O4" t="inlineStr">
        <is>
          <t>en</t>
        </is>
      </c>
      <c r="P4" t="inlineStr">
        <is>
          <t>+919820098765</t>
        </is>
      </c>
    </row>
    <row r="5">
      <c r="A5" t="inlineStr">
        <is>
          <t>T004</t>
        </is>
      </c>
      <c r="B5" t="inlineStr">
        <is>
          <t>TF-BETA1-M002</t>
        </is>
      </c>
      <c r="C5">
        <f>VLOOKUP(B5,Machines!$A:$C,2,FALSE)</f>
        <v/>
      </c>
      <c r="D5">
        <f>VLOOKUP(B5,Machines!$A:$C,3,FALSE)</f>
        <v/>
      </c>
      <c r="E5" s="10" t="n">
        <v>46205.3125</v>
      </c>
      <c r="F5" t="inlineStr">
        <is>
          <t>+919900011114</t>
        </is>
      </c>
      <c r="G5" t="inlineStr">
        <is>
          <t>Compressor tripping breaker repeatedly</t>
        </is>
      </c>
      <c r="H5" t="inlineStr">
        <is>
          <t>Possible motor overload or short; high urgency; electrician to inspect</t>
        </is>
      </c>
      <c r="I5" t="inlineStr">
        <is>
          <t>High</t>
        </is>
      </c>
      <c r="J5" t="inlineStr">
        <is>
          <t>Open</t>
        </is>
      </c>
      <c r="L5">
        <f>IF(J5="Closed",(K5-E5)*24,"")</f>
        <v/>
      </c>
      <c r="O5" t="inlineStr">
        <is>
          <t>en</t>
        </is>
      </c>
    </row>
  </sheetData>
  <dataValidations count="2">
    <dataValidation sqref="B2:B1000" showDropDown="0" showInputMessage="0" showErrorMessage="0" allowBlank="0" type="list">
      <formula1>=Machines!$A$2:$A$1000</formula1>
    </dataValidation>
    <dataValidation sqref="J2:J1000" showDropDown="0" showInputMessage="0" showErrorMessage="0" allowBlank="0" type="list">
      <formula1>"Open,Closed"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2" customWidth="1" min="4" max="4"/>
    <col width="16" customWidth="1" min="5" max="5"/>
    <col width="18" customWidth="1" min="6" max="6"/>
    <col width="18" customWidth="1" min="7" max="7"/>
    <col width="28" customWidth="1" min="8" max="8"/>
    <col width="12" customWidth="1" min="9" max="9"/>
    <col width="16" customWidth="1" min="10" max="10"/>
    <col width="10" customWidth="1" min="11" max="11"/>
  </cols>
  <sheetData>
    <row r="1">
      <c r="A1" s="1" t="inlineStr">
        <is>
          <t>event_id</t>
        </is>
      </c>
      <c r="B1" s="1" t="inlineStr">
        <is>
          <t>machine_id</t>
        </is>
      </c>
      <c r="C1" s="1" t="inlineStr">
        <is>
          <t>company_code</t>
        </is>
      </c>
      <c r="D1" s="1" t="inlineStr">
        <is>
          <t>ticket_id</t>
        </is>
      </c>
      <c r="E1" s="1" t="inlineStr">
        <is>
          <t>event_type</t>
        </is>
      </c>
      <c r="F1" s="1" t="inlineStr">
        <is>
          <t>timestamp</t>
        </is>
      </c>
      <c r="G1" s="1" t="inlineStr">
        <is>
          <t>actor_phone</t>
        </is>
      </c>
      <c r="H1" s="1" t="inlineStr">
        <is>
          <t>description</t>
        </is>
      </c>
      <c r="I1" s="1" t="inlineStr">
        <is>
          <t>media_type</t>
        </is>
      </c>
      <c r="J1" s="1" t="inlineStr">
        <is>
          <t>media_id</t>
        </is>
      </c>
      <c r="K1" s="1" t="inlineStr">
        <is>
          <t>language</t>
        </is>
      </c>
    </row>
    <row r="2">
      <c r="A2" t="inlineStr">
        <is>
          <t>EV001</t>
        </is>
      </c>
      <c r="B2" t="inlineStr">
        <is>
          <t>TF-ACME3-M001</t>
        </is>
      </c>
      <c r="C2" t="inlineStr">
        <is>
          <t>ACME3</t>
        </is>
      </c>
      <c r="D2" t="inlineStr">
        <is>
          <t>T001</t>
        </is>
      </c>
      <c r="E2" t="inlineStr">
        <is>
          <t>ticket_created</t>
        </is>
      </c>
      <c r="F2" s="10" t="n">
        <v>46204.375</v>
      </c>
      <c r="G2" t="inlineStr">
        <is>
          <t>+919900011111</t>
        </is>
      </c>
      <c r="H2" t="inlineStr">
        <is>
          <t>Ticket opened via WhatsApp</t>
        </is>
      </c>
      <c r="I2" t="inlineStr">
        <is>
          <t>audio</t>
        </is>
      </c>
      <c r="J2" t="inlineStr">
        <is>
          <t>voice_note_1</t>
        </is>
      </c>
      <c r="K2" t="inlineStr">
        <is>
          <t>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8" customWidth="1" min="4" max="4"/>
    <col width="26" customWidth="1" min="5" max="5"/>
    <col width="16" customWidth="1" min="6" max="6"/>
    <col width="14" customWidth="1" min="7" max="7"/>
    <col width="16" customWidth="1" min="8" max="8"/>
  </cols>
  <sheetData>
    <row r="1">
      <c r="A1" s="1" t="inlineStr">
        <is>
          <t>user_id</t>
        </is>
      </c>
      <c r="B1" s="1" t="inlineStr">
        <is>
          <t>company_code</t>
        </is>
      </c>
      <c r="C1" s="1" t="inlineStr">
        <is>
          <t>name</t>
        </is>
      </c>
      <c r="D1" s="1" t="inlineStr">
        <is>
          <t>phone</t>
        </is>
      </c>
      <c r="E1" s="1" t="inlineStr">
        <is>
          <t>email</t>
        </is>
      </c>
      <c r="F1" s="1" t="inlineStr">
        <is>
          <t>role</t>
        </is>
      </c>
      <c r="G1" s="1" t="inlineStr">
        <is>
          <t>password_hash</t>
        </is>
      </c>
      <c r="H1" s="1" t="inlineStr">
        <is>
          <t>created_at</t>
        </is>
      </c>
      <c r="I1" t="inlineStr">
        <is>
          <t>manager_user_id</t>
        </is>
      </c>
      <c r="J1" t="inlineStr">
        <is>
          <t>department</t>
        </is>
      </c>
      <c r="K1" t="inlineStr">
        <is>
          <t>plant_location</t>
        </is>
      </c>
      <c r="L1" t="inlineStr">
        <is>
          <t>shift</t>
        </is>
      </c>
      <c r="M1" t="inlineStr">
        <is>
          <t>portal_access</t>
        </is>
      </c>
    </row>
    <row r="2">
      <c r="A2" t="inlineStr">
        <is>
          <t>U-ACME3-001</t>
        </is>
      </c>
      <c r="B2" t="inlineStr">
        <is>
          <t>ACME3</t>
        </is>
      </c>
      <c r="C2" t="inlineStr">
        <is>
          <t>Rakesh Shah</t>
        </is>
      </c>
      <c r="D2" t="inlineStr">
        <is>
          <t>+919820012345</t>
        </is>
      </c>
      <c r="E2" t="inlineStr">
        <is>
          <t>rakesh@acmeforge.example</t>
        </is>
      </c>
      <c r="F2" t="inlineStr">
        <is>
          <t>owner</t>
        </is>
      </c>
      <c r="G2" t="inlineStr">
        <is>
          <t>$2b$12$cbdIgmMzyQK2CgvvpTIW0uzOSzm/XuWL/cr6yWXRqxSt6Tc0Q1ZNe</t>
        </is>
      </c>
      <c r="H2" s="9" t="n">
        <v>46037</v>
      </c>
    </row>
    <row r="3">
      <c r="A3" t="inlineStr">
        <is>
          <t>U-ACME3-002</t>
        </is>
      </c>
      <c r="B3" t="inlineStr">
        <is>
          <t>ACME3</t>
        </is>
      </c>
      <c r="C3" t="inlineStr">
        <is>
          <t>Vikram Naik</t>
        </is>
      </c>
      <c r="D3" t="inlineStr">
        <is>
          <t>+919812340010</t>
        </is>
      </c>
      <c r="E3" t="inlineStr">
        <is>
          <t>vikram@acmeforge.example</t>
        </is>
      </c>
      <c r="F3" t="inlineStr">
        <is>
          <t>maintenance_head</t>
        </is>
      </c>
      <c r="G3" t="inlineStr">
        <is>
          <t>$2b$12$py3LEqaSvv/KbjFVolNYXuNb6OR4JfCJBW88GlDzSYANKIZQYlDmK</t>
        </is>
      </c>
      <c r="H3" s="9" t="n">
        <v>46042</v>
      </c>
    </row>
    <row r="4">
      <c r="A4" t="inlineStr">
        <is>
          <t>U-ACME3-003</t>
        </is>
      </c>
      <c r="B4" t="inlineStr">
        <is>
          <t>ACME3</t>
        </is>
      </c>
      <c r="C4" t="inlineStr">
        <is>
          <t>Sunil Pawar</t>
        </is>
      </c>
      <c r="D4" t="inlineStr">
        <is>
          <t>+919812340011</t>
        </is>
      </c>
      <c r="E4" t="inlineStr">
        <is>
          <t>sunil@acmeforge.example</t>
        </is>
      </c>
      <c r="F4" t="inlineStr">
        <is>
          <t>supervisor</t>
        </is>
      </c>
      <c r="G4" t="inlineStr">
        <is>
          <t>$2b$12$CMiMXfY41vAguGrm8RuqAO7RrkPCkvuwgc0S0jwm0fWBfu.k71Uoe</t>
        </is>
      </c>
      <c r="H4" s="9" t="n">
        <v>46042</v>
      </c>
    </row>
    <row r="5">
      <c r="A5" t="inlineStr">
        <is>
          <t>U-BETA1-001</t>
        </is>
      </c>
      <c r="B5" t="inlineStr">
        <is>
          <t>BETA1</t>
        </is>
      </c>
      <c r="C5" t="inlineStr">
        <is>
          <t>Meena Kulkarni</t>
        </is>
      </c>
      <c r="D5" t="inlineStr">
        <is>
          <t>+919820098765</t>
        </is>
      </c>
      <c r="E5" t="inlineStr">
        <is>
          <t>meena@betaprecision.example</t>
        </is>
      </c>
      <c r="F5" t="inlineStr">
        <is>
          <t>owner</t>
        </is>
      </c>
      <c r="G5" t="inlineStr">
        <is>
          <t>$2b$12$wLKghGUEvUf9WtumfFrnt.wF1CGUMOaDaGquKS7A01Q36b0dOUCNC</t>
        </is>
      </c>
      <c r="H5" s="9" t="n">
        <v>46082</v>
      </c>
    </row>
    <row r="6">
      <c r="A6" t="inlineStr">
        <is>
          <t>U-BETA1-002</t>
        </is>
      </c>
      <c r="B6" t="inlineStr">
        <is>
          <t>BETA1</t>
        </is>
      </c>
      <c r="C6" t="inlineStr">
        <is>
          <t>Anil Deshmukh</t>
        </is>
      </c>
      <c r="D6" t="inlineStr">
        <is>
          <t>+919812340020</t>
        </is>
      </c>
      <c r="E6" t="inlineStr">
        <is>
          <t>anil@betaprecision.example</t>
        </is>
      </c>
      <c r="F6" t="inlineStr">
        <is>
          <t>maintenance_head</t>
        </is>
      </c>
      <c r="G6" t="inlineStr">
        <is>
          <t>$2b$12$BxMeMpvi1P1m6PtPf0kdoO0bqnB0FL.blFv8Upex9vcED.7ie4bE2</t>
        </is>
      </c>
      <c r="H6" s="9" t="n">
        <v>46083</v>
      </c>
    </row>
    <row r="7">
      <c r="A7" t="inlineStr">
        <is>
          <t>U-' OR '1'='1-20260730084539-edfd</t>
        </is>
      </c>
      <c r="B7" t="inlineStr">
        <is>
          <t>' OR '1'='1</t>
        </is>
      </c>
      <c r="C7" t="inlineStr">
        <is>
          <t>Attacker'--; DROP TABLE users;</t>
        </is>
      </c>
      <c r="D7" t="inlineStr">
        <is>
          <t>9999999999</t>
        </is>
      </c>
      <c r="E7" t="inlineStr">
        <is>
          <t>attacker+sql@example.com</t>
        </is>
      </c>
      <c r="F7" t="inlineStr">
        <is>
          <t>owner</t>
        </is>
      </c>
      <c r="G7" t="inlineStr">
        <is>
          <t>$2b$12$Mgk2a4YQl2NRPcsRYKsGi.Q0dQBfLefGolhlqcq4kTxpNjfhWETMq</t>
        </is>
      </c>
      <c r="H7" t="inlineStr">
        <is>
          <t>2026-07-30</t>
        </is>
      </c>
    </row>
    <row r="8">
      <c r="A8" t="inlineStr">
        <is>
          <t>U-STRESS1-20260730084540-c3d4</t>
        </is>
      </c>
      <c r="B8" t="inlineStr">
        <is>
          <t>STRESS1</t>
        </is>
      </c>
      <c r="C8" t="inlineStr">
        <is>
          <t>Stress Test Owner</t>
        </is>
      </c>
      <c r="D8" t="inlineStr">
        <is>
          <t>9876543210</t>
        </is>
      </c>
      <c r="E8" t="inlineStr">
        <is>
          <t>stress_large@example.com</t>
        </is>
      </c>
      <c r="F8" t="inlineStr">
        <is>
          <t>owner</t>
        </is>
      </c>
      <c r="G8" t="inlineStr">
        <is>
          <t>$2b$12$mMzL6TAxnFeTbwtGV73fjOGm/8pqUiwMWuvfIY7mOBy9e87k7CA/C</t>
        </is>
      </c>
      <c r="H8" t="inlineStr">
        <is>
          <t>2026-07-30</t>
        </is>
      </c>
    </row>
    <row r="9">
      <c r="A9" t="inlineStr">
        <is>
          <t>U-NEWFAC1-20260730084820-ff16</t>
        </is>
      </c>
      <c r="B9" t="inlineStr">
        <is>
          <t>NEWFAC1</t>
        </is>
      </c>
      <c r="C9" t="inlineStr">
        <is>
          <t>Rajesh Sharma</t>
        </is>
      </c>
      <c r="D9" t="inlineStr">
        <is>
          <t>9876500001</t>
        </is>
      </c>
      <c r="E9" t="inlineStr">
        <is>
          <t>owner@newfac1.com</t>
        </is>
      </c>
      <c r="F9" t="inlineStr">
        <is>
          <t>owner</t>
        </is>
      </c>
      <c r="G9" t="inlineStr">
        <is>
          <t>$2b$12$udCwWs9q5Pk46GPy7u9Opu0m4iDsZCAoYY42y1/EO6ZjiIloJY0A6</t>
        </is>
      </c>
      <c r="H9" t="inlineStr">
        <is>
          <t>2026-07-30</t>
        </is>
      </c>
    </row>
    <row r="10">
      <c r="A10" t="inlineStr">
        <is>
          <t>U-DEMO43FAA5-20260730084846-0b03</t>
        </is>
      </c>
      <c r="B10" t="inlineStr">
        <is>
          <t>DEMO43FAA5</t>
        </is>
      </c>
      <c r="C10" t="inlineStr">
        <is>
          <t>Rajesh Sharma</t>
        </is>
      </c>
      <c r="D10" t="inlineStr">
        <is>
          <t>987656973</t>
        </is>
      </c>
      <c r="E10" t="inlineStr">
        <is>
          <t>owner_43faa5@demofactory.com</t>
        </is>
      </c>
      <c r="F10" t="inlineStr">
        <is>
          <t>owner</t>
        </is>
      </c>
      <c r="G10" t="inlineStr">
        <is>
          <t>$2b$12$B4vFVUZIjYOmrYLplvqcWefachumTuRraPhcVIvqRQTAV.oEkuM8O</t>
        </is>
      </c>
      <c r="H10" t="inlineStr">
        <is>
          <t>2026-07-30</t>
        </is>
      </c>
    </row>
    <row r="11">
      <c r="A11" t="inlineStr">
        <is>
          <t>U-DEMOCA7F26-20260730084856-7470</t>
        </is>
      </c>
      <c r="B11" t="inlineStr">
        <is>
          <t>DEMOCA7F26</t>
        </is>
      </c>
      <c r="C11" t="inlineStr">
        <is>
          <t>Rajesh Sharma</t>
        </is>
      </c>
      <c r="D11" t="inlineStr">
        <is>
          <t>987661855</t>
        </is>
      </c>
      <c r="E11" t="inlineStr">
        <is>
          <t>owner_ca7f26@demofactory.com</t>
        </is>
      </c>
      <c r="F11" t="inlineStr">
        <is>
          <t>owner</t>
        </is>
      </c>
      <c r="G11" t="inlineStr">
        <is>
          <t>$2b$12$KDNzwCbb.AFC9u04A2tglOdd4TKalGKS7d37RKdGl79Nxc6foYwz6</t>
        </is>
      </c>
      <c r="H11" t="inlineStr">
        <is>
          <t>2026-07-30</t>
        </is>
      </c>
    </row>
    <row r="12">
      <c r="A12" t="inlineStr">
        <is>
          <t>U-DEMOD651A2-20260730090200-c0a2</t>
        </is>
      </c>
      <c r="B12" t="inlineStr">
        <is>
          <t>DEMOD651A2</t>
        </is>
      </c>
      <c r="C12" t="inlineStr">
        <is>
          <t>Rajesh Sharma</t>
        </is>
      </c>
      <c r="D12" t="inlineStr">
        <is>
          <t>987641157</t>
        </is>
      </c>
      <c r="E12" t="inlineStr">
        <is>
          <t>owner_d651a2@demofactory.com</t>
        </is>
      </c>
      <c r="F12" t="inlineStr">
        <is>
          <t>owner</t>
        </is>
      </c>
      <c r="G12" t="inlineStr">
        <is>
          <t>$2b$12$oV7w5MxlDAsobdh8MBOzSuBTOgnAtcGNAH.yySe2Q3sNsVwDU2tIy</t>
        </is>
      </c>
      <c r="H12" t="inlineStr">
        <is>
          <t>2026-07-30</t>
        </is>
      </c>
    </row>
    <row r="13">
      <c r="A13" t="inlineStr">
        <is>
          <t>U-DEMOF3C6C1-20260730090215-23e2</t>
        </is>
      </c>
      <c r="B13" t="inlineStr">
        <is>
          <t>DEMOF3C6C1</t>
        </is>
      </c>
      <c r="C13" t="inlineStr">
        <is>
          <t>Rajesh Sharma</t>
        </is>
      </c>
      <c r="D13" t="inlineStr">
        <is>
          <t>987679846</t>
        </is>
      </c>
      <c r="E13" t="inlineStr">
        <is>
          <t>owner_f3c6c1@demofactory.com</t>
        </is>
      </c>
      <c r="F13" t="inlineStr">
        <is>
          <t>owner</t>
        </is>
      </c>
      <c r="G13" t="inlineStr">
        <is>
          <t>$2b$12$1joPuoZ2l.TWsUtpPOybFeUqa02rxj.mW.Ns0wH7fsq/hrp5D2ioS</t>
        </is>
      </c>
      <c r="H13" t="inlineStr">
        <is>
          <t>2026-07-30</t>
        </is>
      </c>
    </row>
    <row r="14">
      <c r="A14" t="inlineStr">
        <is>
          <t>U-DEMOA2B410-20260731135159-9001</t>
        </is>
      </c>
      <c r="B14" t="inlineStr">
        <is>
          <t>DEMOA2B410</t>
        </is>
      </c>
      <c r="C14" t="inlineStr">
        <is>
          <t>Rajesh Sharma</t>
        </is>
      </c>
      <c r="D14" t="inlineStr">
        <is>
          <t>987661948</t>
        </is>
      </c>
      <c r="E14" t="inlineStr">
        <is>
          <t>owner_a2b410@demofactory.com</t>
        </is>
      </c>
      <c r="F14" t="inlineStr">
        <is>
          <t>owner</t>
        </is>
      </c>
      <c r="G14" t="inlineStr">
        <is>
          <t>$2b$12$tdtUxSRS/HneJwO/6nmccO0KqrGEyokukebZX3AwdnfIy76howEBm</t>
        </is>
      </c>
      <c r="H14" t="inlineStr">
        <is>
          <t>2026-07-31</t>
        </is>
      </c>
    </row>
    <row r="15">
      <c r="A15" t="inlineStr">
        <is>
          <t>U-DEMO47C94C-20260731135432-f8d8</t>
        </is>
      </c>
      <c r="B15" t="inlineStr">
        <is>
          <t>DEMO47C94C</t>
        </is>
      </c>
      <c r="C15" t="inlineStr">
        <is>
          <t>Rajesh Sharma</t>
        </is>
      </c>
      <c r="D15" t="inlineStr">
        <is>
          <t>987648038</t>
        </is>
      </c>
      <c r="E15" t="inlineStr">
        <is>
          <t>owner_47c94c@demofactory.com</t>
        </is>
      </c>
      <c r="F15" t="inlineStr">
        <is>
          <t>owner</t>
        </is>
      </c>
      <c r="G15" t="inlineStr">
        <is>
          <t>$2b$12$rKWsEOJdkoEZ.M1mCcC0iuQwv90inMXQ5afSImnujz6Ksdqaed28y</t>
        </is>
      </c>
      <c r="H15" t="inlineStr">
        <is>
          <t>2026-07-31</t>
        </is>
      </c>
    </row>
    <row r="16">
      <c r="A16" t="inlineStr">
        <is>
          <t>user_sk_pvt_ltd_owner</t>
        </is>
      </c>
      <c r="B16" t="inlineStr">
        <is>
          <t>SK_PVT_LTD</t>
        </is>
      </c>
      <c r="C16" t="inlineStr">
        <is>
          <t>S. K. Sharma (Plant MD)</t>
        </is>
      </c>
      <c r="D16" t="inlineStr">
        <is>
          <t>+919876543210</t>
        </is>
      </c>
      <c r="E16" t="inlineStr">
        <is>
          <t>owner@skpvtltd.in</t>
        </is>
      </c>
      <c r="F16" t="inlineStr">
        <is>
          <t>owner</t>
        </is>
      </c>
      <c r="G16" t="inlineStr">
        <is>
          <t>$2b$12$7FRwy5TxbqLLjkM68GLzIeNZtYxg4vavAhmnLWPEk6.qTnS0RMElu</t>
        </is>
      </c>
      <c r="J16" t="inlineStr">
        <is>
          <t>Plant Management</t>
        </is>
      </c>
      <c r="K16" t="inlineStr">
        <is>
          <t>Main Manufacturing Bay - Unit 1</t>
        </is>
      </c>
    </row>
    <row r="17">
      <c r="A17" t="inlineStr">
        <is>
          <t>user_sk_pvt_ltd_owner</t>
        </is>
      </c>
      <c r="B17" t="inlineStr">
        <is>
          <t>SK_PVT_LTD</t>
        </is>
      </c>
      <c r="C17" t="inlineStr">
        <is>
          <t>Mr. Raghav Sathe</t>
        </is>
      </c>
      <c r="D17" t="inlineStr">
        <is>
          <t>+919876543210</t>
        </is>
      </c>
      <c r="E17" t="inlineStr">
        <is>
          <t>raghav.sathe@skpvtltd.in</t>
        </is>
      </c>
      <c r="F17" t="inlineStr">
        <is>
          <t>owner</t>
        </is>
      </c>
      <c r="G17" t="inlineStr">
        <is>
          <t>$2b$12$TJWW/9ZRpGFwcUmm0XhOCuksbJ5MlUT6eOxEU47BLJGePr0CfWv4a</t>
        </is>
      </c>
      <c r="J17" t="inlineStr">
        <is>
          <t>Executive Management</t>
        </is>
      </c>
      <c r="K17" t="inlineStr">
        <is>
          <t>Headquarters / Main Plant</t>
        </is>
      </c>
    </row>
    <row r="18">
      <c r="A18" t="inlineStr">
        <is>
          <t>user_sk_pvt_ltd_maint_head</t>
        </is>
      </c>
      <c r="B18" t="inlineStr">
        <is>
          <t>SK_PVT_LTD</t>
        </is>
      </c>
      <c r="C18" t="inlineStr">
        <is>
          <t>Vikram Deshmukh (Maintenance Head)</t>
        </is>
      </c>
      <c r="D18" t="inlineStr">
        <is>
          <t>+919876543211</t>
        </is>
      </c>
      <c r="E18" t="inlineStr">
        <is>
          <t>vikram.deshmukh@skpvtltd.in</t>
        </is>
      </c>
      <c r="F18" t="inlineStr">
        <is>
          <t>maintenance_head</t>
        </is>
      </c>
      <c r="G18" t="inlineStr">
        <is>
          <t>$2b$12$TJWW/9ZRpGFwcUmm0XhOCuksbJ5MlUT6eOxEU47BLJGePr0CfWv4a</t>
        </is>
      </c>
      <c r="J18" t="inlineStr">
        <is>
          <t>Plant Maintenance</t>
        </is>
      </c>
      <c r="K18" t="inlineStr">
        <is>
          <t>Central Maintenance Shop</t>
        </is>
      </c>
    </row>
    <row r="19">
      <c r="A19" t="inlineStr">
        <is>
          <t>user_sk_pvt_ltd_eng_1</t>
        </is>
      </c>
      <c r="B19" t="inlineStr">
        <is>
          <t>SK_PVT_LTD</t>
        </is>
      </c>
      <c r="C19" t="inlineStr">
        <is>
          <t>Rajesh Verma (Sr. Maintenance Engineer)</t>
        </is>
      </c>
      <c r="D19" t="inlineStr">
        <is>
          <t>+919876543212</t>
        </is>
      </c>
      <c r="E19" t="inlineStr">
        <is>
          <t>rajesh.verma@skpvtltd.in</t>
        </is>
      </c>
      <c r="F19" t="inlineStr">
        <is>
          <t>maintenance_engineer</t>
        </is>
      </c>
      <c r="G19" t="inlineStr">
        <is>
          <t>$2b$12$TJWW/9ZRpGFwcUmm0XhOCuksbJ5MlUT6eOxEU47BLJGePr0CfWv4a</t>
        </is>
      </c>
      <c r="J19" t="inlineStr">
        <is>
          <t>Laser &amp; Automation Engineering</t>
        </is>
      </c>
      <c r="K19" t="inlineStr">
        <is>
          <t>Bay 1 - CNC Division</t>
        </is>
      </c>
    </row>
    <row r="20">
      <c r="A20" t="inlineStr">
        <is>
          <t>user_sk_pvt_ltd_eng_2</t>
        </is>
      </c>
      <c r="B20" t="inlineStr">
        <is>
          <t>SK_PVT_LTD</t>
        </is>
      </c>
      <c r="C20" t="inlineStr">
        <is>
          <t>Anil Kulkarni (Process &amp; Thermal Engineer)</t>
        </is>
      </c>
      <c r="D20" t="inlineStr">
        <is>
          <t>+919876543213</t>
        </is>
      </c>
      <c r="E20" t="inlineStr">
        <is>
          <t>anil.kulkarni@skpvtltd.in</t>
        </is>
      </c>
      <c r="F20" t="inlineStr">
        <is>
          <t>maintenance_engineer</t>
        </is>
      </c>
      <c r="G20" t="inlineStr">
        <is>
          <t>$2b$12$TJWW/9ZRpGFwcUmm0XhOCuksbJ5MlUT6eOxEU47BLJGePr0CfWv4a</t>
        </is>
      </c>
      <c r="J20" t="inlineStr">
        <is>
          <t>Heavy Fabrication Engineering</t>
        </is>
      </c>
      <c r="K20" t="inlineStr">
        <is>
          <t>Bay 2 - Heavy Cutting Cell</t>
        </is>
      </c>
    </row>
    <row r="21">
      <c r="A21" t="inlineStr">
        <is>
          <t>user_sk_pvt_ltd_sup_1</t>
        </is>
      </c>
      <c r="B21" t="inlineStr">
        <is>
          <t>SK_PVT_LTD</t>
        </is>
      </c>
      <c r="C21" t="inlineStr">
        <is>
          <t>Suresh Patil (Laser Shop Supervisor)</t>
        </is>
      </c>
      <c r="D21" t="inlineStr">
        <is>
          <t>+919876543214</t>
        </is>
      </c>
      <c r="E21" t="inlineStr">
        <is>
          <t>suresh.patil@skpvtltd.in</t>
        </is>
      </c>
      <c r="F21" t="inlineStr">
        <is>
          <t>supervisor</t>
        </is>
      </c>
      <c r="G21" t="inlineStr">
        <is>
          <t>$2b$12$TJWW/9ZRpGFwcUmm0XhOCuksbJ5MlUT6eOxEU47BLJGePr0CfWv4a</t>
        </is>
      </c>
      <c r="J21" t="inlineStr">
        <is>
          <t>Sheet Metal Cutting</t>
        </is>
      </c>
      <c r="K21" t="inlineStr">
        <is>
          <t>Sheet Metal Bay 1</t>
        </is>
      </c>
    </row>
    <row r="22">
      <c r="A22" t="inlineStr">
        <is>
          <t>user_sk_pvt_ltd_sup_2</t>
        </is>
      </c>
      <c r="B22" t="inlineStr">
        <is>
          <t>SK_PVT_LTD</t>
        </is>
      </c>
      <c r="C22" t="inlineStr">
        <is>
          <t>Amit Shinde (CO2 &amp; Waterjet Supervisor)</t>
        </is>
      </c>
      <c r="D22" t="inlineStr">
        <is>
          <t>+919876543215</t>
        </is>
      </c>
      <c r="E22" t="inlineStr">
        <is>
          <t>amit.shinde@skpvtltd.in</t>
        </is>
      </c>
      <c r="F22" t="inlineStr">
        <is>
          <t>supervisor</t>
        </is>
      </c>
      <c r="G22" t="inlineStr">
        <is>
          <t>$2b$12$TJWW/9ZRpGFwcUmm0XhOCuksbJ5MlUT6eOxEU47BLJGePr0CfWv4a</t>
        </is>
      </c>
      <c r="J22" t="inlineStr">
        <is>
          <t>Heavy &amp; Precision Cutting</t>
        </is>
      </c>
      <c r="K22" t="inlineStr">
        <is>
          <t>Heavy Fabrication Bay</t>
        </is>
      </c>
    </row>
    <row r="23">
      <c r="A23" t="inlineStr">
        <is>
          <t>user_sk_pvt_ltd_sup_3</t>
        </is>
      </c>
      <c r="B23" t="inlineStr">
        <is>
          <t>SK_PVT_LTD</t>
        </is>
      </c>
      <c r="C23" t="inlineStr">
        <is>
          <t>Deepak Joshi (Plasma &amp; Night Supervisor)</t>
        </is>
      </c>
      <c r="D23" t="inlineStr">
        <is>
          <t>+919876543216</t>
        </is>
      </c>
      <c r="E23" t="inlineStr">
        <is>
          <t>deepak.joshi@skpvtltd.in</t>
        </is>
      </c>
      <c r="F23" t="inlineStr">
        <is>
          <t>supervisor</t>
        </is>
      </c>
      <c r="G23" t="inlineStr">
        <is>
          <t>$2b$12$TJWW/9ZRpGFwcUmm0XhOCuksbJ5MlUT6eOxEU47BLJGePr0CfWv4a</t>
        </is>
      </c>
      <c r="J23" t="inlineStr">
        <is>
          <t>Structural Steel Cutting</t>
        </is>
      </c>
      <c r="K23" t="inlineStr">
        <is>
          <t>Structural Bay</t>
        </is>
      </c>
    </row>
    <row r="24">
      <c r="A24" t="inlineStr">
        <is>
          <t>user_sk_pvt_ltd_sup_4</t>
        </is>
      </c>
      <c r="B24" t="inlineStr">
        <is>
          <t>SK_PVT_LTD</t>
        </is>
      </c>
      <c r="C24" t="inlineStr">
        <is>
          <t>Kavita Mehta (General Shift Supervisor)</t>
        </is>
      </c>
      <c r="D24" t="inlineStr">
        <is>
          <t>+919876543217</t>
        </is>
      </c>
      <c r="E24" t="inlineStr">
        <is>
          <t>kavita.mehta@skpvtltd.in</t>
        </is>
      </c>
      <c r="F24" t="inlineStr">
        <is>
          <t>supervisor</t>
        </is>
      </c>
      <c r="G24" t="inlineStr">
        <is>
          <t>$2b$12$TJWW/9ZRpGFwcUmm0XhOCuksbJ5MlUT6eOxEU47BLJGePr0CfWv4a</t>
        </is>
      </c>
      <c r="J24" t="inlineStr">
        <is>
          <t>Production Operations</t>
        </is>
      </c>
      <c r="K24" t="inlineStr">
        <is>
          <t>Main Plant Floor</t>
        </is>
      </c>
    </row>
    <row r="25">
      <c r="A25" t="inlineStr">
        <is>
          <t>user_sk_pvt_ltd_tech_1</t>
        </is>
      </c>
      <c r="B25" t="inlineStr">
        <is>
          <t>SK_PVT_LTD</t>
        </is>
      </c>
      <c r="C25" t="inlineStr">
        <is>
          <t>Manoj Kumar (Sr. Fiber Laser Tech)</t>
        </is>
      </c>
      <c r="D25" t="inlineStr">
        <is>
          <t>+919876543220</t>
        </is>
      </c>
      <c r="E25" t="inlineStr">
        <is>
          <t>manoj.kumar@skpvtltd.in</t>
        </is>
      </c>
      <c r="F25" t="inlineStr">
        <is>
          <t>technician</t>
        </is>
      </c>
      <c r="G25" t="inlineStr">
        <is>
          <t>$2b$12$TJWW/9ZRpGFwcUmm0XhOCuksbJ5MlUT6eOxEU47BLJGePr0CfWv4a</t>
        </is>
      </c>
      <c r="J25" t="inlineStr">
        <is>
          <t>Laser Maintenance</t>
        </is>
      </c>
      <c r="K25" t="inlineStr">
        <is>
          <t>Sheet Metal Bay 1</t>
        </is>
      </c>
    </row>
    <row r="26">
      <c r="A26" t="inlineStr">
        <is>
          <t>user_sk_pvt_ltd_tech_2</t>
        </is>
      </c>
      <c r="B26" t="inlineStr">
        <is>
          <t>SK_PVT_LTD</t>
        </is>
      </c>
      <c r="C26" t="inlineStr">
        <is>
          <t>Pravin Jadhav (Laser Optics Tech)</t>
        </is>
      </c>
      <c r="D26" t="inlineStr">
        <is>
          <t>+919876543221</t>
        </is>
      </c>
      <c r="E26" t="inlineStr">
        <is>
          <t>pravin.jadhav@skpvtltd.in</t>
        </is>
      </c>
      <c r="F26" t="inlineStr">
        <is>
          <t>technician</t>
        </is>
      </c>
      <c r="G26" t="inlineStr">
        <is>
          <t>$2b$12$TJWW/9ZRpGFwcUmm0XhOCuksbJ5MlUT6eOxEU47BLJGePr0CfWv4a</t>
        </is>
      </c>
      <c r="J26" t="inlineStr">
        <is>
          <t>Laser Maintenance</t>
        </is>
      </c>
      <c r="K26" t="inlineStr">
        <is>
          <t>Sheet Metal Bay 1</t>
        </is>
      </c>
    </row>
    <row r="27">
      <c r="A27" t="inlineStr">
        <is>
          <t>user_sk_pvt_ltd_tech_3</t>
        </is>
      </c>
      <c r="B27" t="inlineStr">
        <is>
          <t>SK_PVT_LTD</t>
        </is>
      </c>
      <c r="C27" t="inlineStr">
        <is>
          <t>Ramesh Pawar (CNC Laser Tech)</t>
        </is>
      </c>
      <c r="D27" t="inlineStr">
        <is>
          <t>+919876543222</t>
        </is>
      </c>
      <c r="E27" t="inlineStr">
        <is>
          <t>ramesh.pawar@skpvtltd.in</t>
        </is>
      </c>
      <c r="F27" t="inlineStr">
        <is>
          <t>technician</t>
        </is>
      </c>
      <c r="G27" t="inlineStr">
        <is>
          <t>$2b$12$TJWW/9ZRpGFwcUmm0XhOCuksbJ5MlUT6eOxEU47BLJGePr0CfWv4a</t>
        </is>
      </c>
      <c r="J27" t="inlineStr">
        <is>
          <t>Laser Maintenance</t>
        </is>
      </c>
      <c r="K27" t="inlineStr">
        <is>
          <t>Sheet Metal Bay 2</t>
        </is>
      </c>
    </row>
    <row r="28">
      <c r="A28" t="inlineStr">
        <is>
          <t>user_sk_pvt_ltd_tech_4</t>
        </is>
      </c>
      <c r="B28" t="inlineStr">
        <is>
          <t>SK_PVT_LTD</t>
        </is>
      </c>
      <c r="C28" t="inlineStr">
        <is>
          <t>Sanjay More (High-Power Laser Tech)</t>
        </is>
      </c>
      <c r="D28" t="inlineStr">
        <is>
          <t>+919876543223</t>
        </is>
      </c>
      <c r="E28" t="inlineStr">
        <is>
          <t>sanjay.more@skpvtltd.in</t>
        </is>
      </c>
      <c r="F28" t="inlineStr">
        <is>
          <t>technician</t>
        </is>
      </c>
      <c r="G28" t="inlineStr">
        <is>
          <t>$2b$12$TJWW/9ZRpGFwcUmm0XhOCuksbJ5MlUT6eOxEU47BLJGePr0CfWv4a</t>
        </is>
      </c>
      <c r="J28" t="inlineStr">
        <is>
          <t>Laser Maintenance</t>
        </is>
      </c>
      <c r="K28" t="inlineStr">
        <is>
          <t>Sheet Metal Bay 2</t>
        </is>
      </c>
    </row>
    <row r="29">
      <c r="A29" t="inlineStr">
        <is>
          <t>user_sk_pvt_ltd_tech_5</t>
        </is>
      </c>
      <c r="B29" t="inlineStr">
        <is>
          <t>SK_PVT_LTD</t>
        </is>
      </c>
      <c r="C29" t="inlineStr">
        <is>
          <t>Ganesh Rao (CO2 Laser Specialist)</t>
        </is>
      </c>
      <c r="D29" t="inlineStr">
        <is>
          <t>+919876543224</t>
        </is>
      </c>
      <c r="E29" t="inlineStr">
        <is>
          <t>ganesh.rao@skpvtltd.in</t>
        </is>
      </c>
      <c r="F29" t="inlineStr">
        <is>
          <t>technician</t>
        </is>
      </c>
      <c r="G29" t="inlineStr">
        <is>
          <t>$2b$12$TJWW/9ZRpGFwcUmm0XhOCuksbJ5MlUT6eOxEU47BLJGePr0CfWv4a</t>
        </is>
      </c>
      <c r="J29" t="inlineStr">
        <is>
          <t>CO2 Cutting Maintenance</t>
        </is>
      </c>
      <c r="K29" t="inlineStr">
        <is>
          <t>Heavy Fabrication Bay</t>
        </is>
      </c>
    </row>
    <row r="30">
      <c r="A30" t="inlineStr">
        <is>
          <t>user_sk_pvt_ltd_tech_6</t>
        </is>
      </c>
      <c r="B30" t="inlineStr">
        <is>
          <t>SK_PVT_LTD</t>
        </is>
      </c>
      <c r="C30" t="inlineStr">
        <is>
          <t>Vijay Kale (CO2 Resonator Tech)</t>
        </is>
      </c>
      <c r="D30" t="inlineStr">
        <is>
          <t>+919876543225</t>
        </is>
      </c>
      <c r="E30" t="inlineStr">
        <is>
          <t>vijay.kale@skpvtltd.in</t>
        </is>
      </c>
      <c r="F30" t="inlineStr">
        <is>
          <t>technician</t>
        </is>
      </c>
      <c r="G30" t="inlineStr">
        <is>
          <t>$2b$12$TJWW/9ZRpGFwcUmm0XhOCuksbJ5MlUT6eOxEU47BLJGePr0CfWv4a</t>
        </is>
      </c>
      <c r="J30" t="inlineStr">
        <is>
          <t>CO2 Cutting Maintenance</t>
        </is>
      </c>
      <c r="K30" t="inlineStr">
        <is>
          <t>Heavy Fabrication Bay</t>
        </is>
      </c>
    </row>
    <row r="31">
      <c r="A31" t="inlineStr">
        <is>
          <t>user_sk_pvt_ltd_tech_7</t>
        </is>
      </c>
      <c r="B31" t="inlineStr">
        <is>
          <t>SK_PVT_LTD</t>
        </is>
      </c>
      <c r="C31" t="inlineStr">
        <is>
          <t>Pankaj Kulkarni (Abrasive Waterjet Tech)</t>
        </is>
      </c>
      <c r="D31" t="inlineStr">
        <is>
          <t>+919876543226</t>
        </is>
      </c>
      <c r="E31" t="inlineStr">
        <is>
          <t>pankaj.kulkarni@skpvtltd.in</t>
        </is>
      </c>
      <c r="F31" t="inlineStr">
        <is>
          <t>technician</t>
        </is>
      </c>
      <c r="G31" t="inlineStr">
        <is>
          <t>$2b$12$TJWW/9ZRpGFwcUmm0XhOCuksbJ5MlUT6eOxEU47BLJGePr0CfWv4a</t>
        </is>
      </c>
      <c r="J31" t="inlineStr">
        <is>
          <t>Waterjet Maintenance</t>
        </is>
      </c>
      <c r="K31" t="inlineStr">
        <is>
          <t>Precision Cutting Cell</t>
        </is>
      </c>
    </row>
    <row r="32">
      <c r="A32" t="inlineStr">
        <is>
          <t>user_sk_pvt_ltd_tech_8</t>
        </is>
      </c>
      <c r="B32" t="inlineStr">
        <is>
          <t>SK_PVT_LTD</t>
        </is>
      </c>
      <c r="C32" t="inlineStr">
        <is>
          <t>Nilesh Thorat (High-Definition Plasma Tech)</t>
        </is>
      </c>
      <c r="D32" t="inlineStr">
        <is>
          <t>+919876543227</t>
        </is>
      </c>
      <c r="E32" t="inlineStr">
        <is>
          <t>nilesh.thorat@skpvtltd.in</t>
        </is>
      </c>
      <c r="F32" t="inlineStr">
        <is>
          <t>technician</t>
        </is>
      </c>
      <c r="G32" t="inlineStr">
        <is>
          <t>$2b$12$TJWW/9ZRpGFwcUmm0XhOCuksbJ5MlUT6eOxEU47BLJGePr0CfWv4a</t>
        </is>
      </c>
      <c r="J32" t="inlineStr">
        <is>
          <t>Plasma Cutting Maintenance</t>
        </is>
      </c>
      <c r="K32" t="inlineStr">
        <is>
          <t>Structural Steel Shop</t>
        </is>
      </c>
    </row>
    <row r="33">
      <c r="A33" t="inlineStr">
        <is>
          <t>user_sk_pvt_ltd_tech_9</t>
        </is>
      </c>
      <c r="B33" t="inlineStr">
        <is>
          <t>SK_PVT_LTD</t>
        </is>
      </c>
      <c r="C33" t="inlineStr">
        <is>
          <t>Santosh Gaikwad (Relief &amp; Utility Tech)</t>
        </is>
      </c>
      <c r="D33" t="inlineStr">
        <is>
          <t>+919876543228</t>
        </is>
      </c>
      <c r="E33" t="inlineStr">
        <is>
          <t>santosh.gaikwad@skpvtltd.in</t>
        </is>
      </c>
      <c r="F33" t="inlineStr">
        <is>
          <t>technician</t>
        </is>
      </c>
      <c r="G33" t="inlineStr">
        <is>
          <t>$2b$12$TJWW/9ZRpGFwcUmm0XhOCuksbJ5MlUT6eOxEU47BLJGePr0CfWv4a</t>
        </is>
      </c>
      <c r="J33" t="inlineStr">
        <is>
          <t>Plant Maintenance</t>
        </is>
      </c>
      <c r="K33" t="inlineStr">
        <is>
          <t>Central Maintenance Shop</t>
        </is>
      </c>
    </row>
  </sheetData>
  <dataValidations count="1">
    <dataValidation sqref="F2:F1000" showDropDown="0" showInputMessage="0" showErrorMessage="0" allowBlank="0" type="list">
      <formula1>"owner,supervisor,maintenance_head"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20" customWidth="1" min="4" max="4"/>
    <col width="28" customWidth="1" min="5" max="5"/>
    <col width="22" customWidth="1" min="6" max="6"/>
    <col width="46" customWidth="1" min="7" max="7"/>
    <col width="16" customWidth="1" min="8" max="8"/>
    <col width="16" customWidth="1" min="9" max="9"/>
  </cols>
  <sheetData>
    <row r="1">
      <c r="A1" s="1" t="inlineStr">
        <is>
          <t>document_id</t>
        </is>
      </c>
      <c r="B1" s="1" t="inlineStr">
        <is>
          <t>company_code</t>
        </is>
      </c>
      <c r="C1" s="1" t="inlineStr">
        <is>
          <t>machine_id</t>
        </is>
      </c>
      <c r="D1" s="1" t="inlineStr">
        <is>
          <t>category</t>
        </is>
      </c>
      <c r="E1" s="1" t="inlineStr">
        <is>
          <t>title</t>
        </is>
      </c>
      <c r="F1" s="1" t="inlineStr">
        <is>
          <t>file_name</t>
        </is>
      </c>
      <c r="G1" s="1" t="inlineStr">
        <is>
          <t>storage_path</t>
        </is>
      </c>
      <c r="H1" s="1" t="inlineStr">
        <is>
          <t>uploaded_by</t>
        </is>
      </c>
      <c r="I1" s="1" t="inlineStr">
        <is>
          <t>uploaded_at</t>
        </is>
      </c>
    </row>
    <row r="2">
      <c r="A2" t="inlineStr">
        <is>
          <t>DOC-ACME3-001</t>
        </is>
      </c>
      <c r="B2" t="inlineStr">
        <is>
          <t>ACME3</t>
        </is>
      </c>
      <c r="C2" t="inlineStr">
        <is>
          <t>TF-ACME3-M001</t>
        </is>
      </c>
      <c r="D2" t="inlineStr">
        <is>
          <t>manual</t>
        </is>
      </c>
      <c r="E2" t="inlineStr">
        <is>
          <t>CNC Lathe 1 - Operation &amp; Maintenance Manual</t>
        </is>
      </c>
      <c r="F2" t="inlineStr">
        <is>
          <t>cnc-lathe-1-manual.txt</t>
        </is>
      </c>
      <c r="G2" t="inlineStr">
        <is>
          <t>/Users/nkumarsoni/Turbobox11/backend/document_store/ACME3/TF-ACME3-M001/DOC-ACME3-001_cnc-lathe-1-manual.txt</t>
        </is>
      </c>
      <c r="H2" t="inlineStr">
        <is>
          <t>Rakesh Shah</t>
        </is>
      </c>
      <c r="I2" s="9" t="n">
        <v>46210</v>
      </c>
    </row>
    <row r="3">
      <c r="A3" t="inlineStr">
        <is>
          <t>DOC-ACME3-002</t>
        </is>
      </c>
      <c r="B3" t="inlineStr">
        <is>
          <t>ACME3</t>
        </is>
      </c>
      <c r="C3" t="inlineStr">
        <is>
          <t>TF-ACME3-M001</t>
        </is>
      </c>
      <c r="D3" t="inlineStr">
        <is>
          <t>circuit_diagram</t>
        </is>
      </c>
      <c r="E3" t="inlineStr">
        <is>
          <t>CNC Lathe 1 - Electrical Circuit Diagram</t>
        </is>
      </c>
      <c r="F3" t="inlineStr">
        <is>
          <t>cnc-lathe-1-circuit.txt</t>
        </is>
      </c>
      <c r="G3" t="inlineStr">
        <is>
          <t>/Users/nkumarsoni/Turbobox11/backend/document_store/ACME3/TF-ACME3-M001/DOC-ACME3-002_cnc-lathe-1-circuit.txt</t>
        </is>
      </c>
      <c r="H3" t="inlineStr">
        <is>
          <t>Vikram Naik</t>
        </is>
      </c>
      <c r="I3" s="9" t="n">
        <v>46210</v>
      </c>
    </row>
    <row r="4">
      <c r="A4" t="inlineStr">
        <is>
          <t>DOC-ACME3-003</t>
        </is>
      </c>
      <c r="B4" t="inlineStr">
        <is>
          <t>ACME3</t>
        </is>
      </c>
      <c r="C4" t="inlineStr">
        <is>
          <t>TF-ACME3-M002</t>
        </is>
      </c>
      <c r="D4" t="inlineStr">
        <is>
          <t>hydraulic_diagram</t>
        </is>
      </c>
      <c r="E4" t="inlineStr">
        <is>
          <t>Hydraulic Press - Hydraulic Circuit Diagram</t>
        </is>
      </c>
      <c r="F4" t="inlineStr">
        <is>
          <t>hyd-press-hydraulic.txt</t>
        </is>
      </c>
      <c r="G4" t="inlineStr">
        <is>
          <t>/Users/nkumarsoni/Turbobox11/backend/document_store/ACME3/TF-ACME3-M002/DOC-ACME3-003_hyd-press-hydraulic.txt</t>
        </is>
      </c>
      <c r="H4" t="inlineStr">
        <is>
          <t>Vikram Naik</t>
        </is>
      </c>
      <c r="I4" s="9" t="n">
        <v>46210</v>
      </c>
    </row>
    <row r="5">
      <c r="A5" t="inlineStr">
        <is>
          <t>DOC-ACME3-004</t>
        </is>
      </c>
      <c r="B5" t="inlineStr">
        <is>
          <t>ACME3</t>
        </is>
      </c>
      <c r="C5" t="inlineStr">
        <is>
          <t>TF-ACME3-M002</t>
        </is>
      </c>
      <c r="D5" t="inlineStr">
        <is>
          <t>spare_parts_catalog</t>
        </is>
      </c>
      <c r="E5" t="inlineStr">
        <is>
          <t>Hydraulic Press - Spare Parts Catalog</t>
        </is>
      </c>
      <c r="F5" t="inlineStr">
        <is>
          <t>hyd-press-spares.txt</t>
        </is>
      </c>
      <c r="G5" t="inlineStr">
        <is>
          <t>/Users/nkumarsoni/Turbobox11/backend/document_store/ACME3/TF-ACME3-M002/DOC-ACME3-004_hyd-press-spares.txt</t>
        </is>
      </c>
      <c r="H5" t="inlineStr">
        <is>
          <t>Vikram Naik</t>
        </is>
      </c>
      <c r="I5" s="9" t="n">
        <v>46210</v>
      </c>
    </row>
    <row r="6">
      <c r="A6" t="inlineStr">
        <is>
          <t>DOC-BETA1-001</t>
        </is>
      </c>
      <c r="B6" t="inlineStr">
        <is>
          <t>BETA1</t>
        </is>
      </c>
      <c r="C6" t="inlineStr">
        <is>
          <t>TF-BETA1-M001</t>
        </is>
      </c>
      <c r="D6" t="inlineStr">
        <is>
          <t>manual</t>
        </is>
      </c>
      <c r="E6" t="inlineStr">
        <is>
          <t>Grinding Machine - Operation Manual</t>
        </is>
      </c>
      <c r="F6" t="inlineStr">
        <is>
          <t>grinder-manual.txt</t>
        </is>
      </c>
      <c r="G6" t="inlineStr">
        <is>
          <t>/Users/nkumarsoni/Turbobox11/backend/document_store/BETA1/TF-BETA1-M001/DOC-BETA1-001_grinder-manual.txt</t>
        </is>
      </c>
      <c r="H6" t="inlineStr">
        <is>
          <t>Anil Deshmukh</t>
        </is>
      </c>
      <c r="I6" s="9" t="n">
        <v>46210</v>
      </c>
    </row>
    <row r="7">
      <c r="A7" t="inlineStr">
        <is>
          <t>DOC-20260716041424-c940</t>
        </is>
      </c>
      <c r="B7" t="inlineStr">
        <is>
          <t>ACME3</t>
        </is>
      </c>
      <c r="C7" t="inlineStr">
        <is>
          <t>TF-ACME3-M001</t>
        </is>
      </c>
      <c r="D7" t="inlineStr">
        <is>
          <t>other</t>
        </is>
      </c>
      <c r="E7" t="inlineStr">
        <is>
          <t>CNC Lathe service register — July 2026</t>
        </is>
      </c>
      <c r="F7" t="inlineStr">
        <is>
          <t>cnc-lathe-service-register.txt</t>
        </is>
      </c>
      <c r="G7" t="inlineStr">
        <is>
          <t>/Users/nkumarsoni/TurboFix/backend/document_store/ACME3/TF-ACME3-M001/DOC-20260716041424-c940_cnc-lathe-service-register.txt</t>
        </is>
      </c>
      <c r="H7" t="inlineStr">
        <is>
          <t>U-ACME3-002</t>
        </is>
      </c>
      <c r="I7" t="inlineStr">
        <is>
          <t>2026-07-16T04:14:24.413173+00:00</t>
        </is>
      </c>
    </row>
    <row r="8">
      <c r="A8" t="inlineStr">
        <is>
          <t>DOC-20260716041532-54e4</t>
        </is>
      </c>
      <c r="B8" t="inlineStr">
        <is>
          <t>ACME3</t>
        </is>
      </c>
      <c r="C8" t="inlineStr">
        <is>
          <t>TF-ACME3-M002</t>
        </is>
      </c>
      <c r="D8" t="inlineStr">
        <is>
          <t>other</t>
        </is>
      </c>
      <c r="E8" t="inlineStr">
        <is>
          <t>Hydraulic press handwritten inspection</t>
        </is>
      </c>
      <c r="F8" t="inlineStr">
        <is>
          <t>hydraulic-press-inspection.txt</t>
        </is>
      </c>
      <c r="G8" t="inlineStr">
        <is>
          <t>/Users/nkumarsoni/TurboFix/backend/document_store/ACME3/TF-ACME3-M002/DOC-20260716041532-54e4_hydraulic-press-inspection.txt</t>
        </is>
      </c>
      <c r="H8" t="inlineStr">
        <is>
          <t>U-ACME3-002</t>
        </is>
      </c>
      <c r="I8" t="inlineStr">
        <is>
          <t>2026-07-16T04:15:32.364396+00:00</t>
        </is>
      </c>
    </row>
  </sheetData>
  <dataValidations count="2">
    <dataValidation sqref="C2:C1000" showDropDown="0" showInputMessage="0" showErrorMessage="0" allowBlank="0" type="list">
      <formula1>=Machines!$A$2:$A$1000</formula1>
    </dataValidation>
    <dataValidation sqref="D2:D1000" showDropDown="0" showInputMessage="0" showErrorMessage="0" allowBlank="0" type="list">
      <formula1>"manual,circuit_diagram,hydraulic_diagram,spare_parts_catalog,other"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4" customWidth="1" min="4" max="4"/>
    <col width="18" customWidth="1" min="5" max="5"/>
    <col width="16" customWidth="1" min="6" max="6"/>
    <col width="10" customWidth="1" min="7" max="7"/>
    <col width="14" customWidth="1" min="8" max="8"/>
    <col width="22" customWidth="1" min="9" max="9"/>
    <col width="26" customWidth="1" min="10" max="10"/>
  </cols>
  <sheetData>
    <row r="1">
      <c r="A1" s="1" t="inlineStr">
        <is>
          <t>part_id</t>
        </is>
      </c>
      <c r="B1" s="1" t="inlineStr">
        <is>
          <t>company_code</t>
        </is>
      </c>
      <c r="C1" s="1" t="inlineStr">
        <is>
          <t>machine_id</t>
        </is>
      </c>
      <c r="D1" s="1" t="inlineStr">
        <is>
          <t>part_name</t>
        </is>
      </c>
      <c r="E1" s="1" t="inlineStr">
        <is>
          <t>part_number</t>
        </is>
      </c>
      <c r="F1" s="1" t="inlineStr">
        <is>
          <t>quantity_on_hand</t>
        </is>
      </c>
      <c r="G1" s="1" t="inlineStr">
        <is>
          <t>unit</t>
        </is>
      </c>
      <c r="H1" s="1" t="inlineStr">
        <is>
          <t>reorder_level</t>
        </is>
      </c>
      <c r="I1" s="1" t="inlineStr">
        <is>
          <t>supplier</t>
        </is>
      </c>
      <c r="J1" s="1" t="inlineStr">
        <is>
          <t>notes</t>
        </is>
      </c>
    </row>
    <row r="2">
      <c r="A2" t="inlineStr">
        <is>
          <t>SP-ACME3-001</t>
        </is>
      </c>
      <c r="B2" t="inlineStr">
        <is>
          <t>ACME3</t>
        </is>
      </c>
      <c r="C2" t="inlineStr">
        <is>
          <t>TF-ACME3-M001</t>
        </is>
      </c>
      <c r="D2" t="inlineStr">
        <is>
          <t>Spindle Bearing 6208ZZ</t>
        </is>
      </c>
      <c r="E2" t="inlineStr">
        <is>
          <t>BRG-6208ZZ</t>
        </is>
      </c>
      <c r="F2" t="n">
        <v>4</v>
      </c>
      <c r="G2" t="inlineStr">
        <is>
          <t>pcs</t>
        </is>
      </c>
      <c r="H2" t="n">
        <v>2</v>
      </c>
      <c r="I2" t="inlineStr">
        <is>
          <t>Pune Bearings Co.</t>
        </is>
      </c>
      <c r="J2" t="inlineStr">
        <is>
          <t>Replace in pairs</t>
        </is>
      </c>
    </row>
    <row r="3">
      <c r="A3" t="inlineStr">
        <is>
          <t>SP-ACME3-002</t>
        </is>
      </c>
      <c r="B3" t="inlineStr">
        <is>
          <t>ACME3</t>
        </is>
      </c>
      <c r="C3" t="inlineStr">
        <is>
          <t>TF-ACME3-M002</t>
        </is>
      </c>
      <c r="D3" t="inlineStr">
        <is>
          <t>Hydraulic Seal Kit</t>
        </is>
      </c>
      <c r="E3" t="inlineStr">
        <is>
          <t>SEAL-HP-220</t>
        </is>
      </c>
      <c r="F3" t="n">
        <v>3</v>
      </c>
      <c r="G3" t="inlineStr">
        <is>
          <t>kits</t>
        </is>
      </c>
      <c r="H3" t="n">
        <v>1</v>
      </c>
      <c r="I3" t="inlineStr">
        <is>
          <t>Hydro Seals Pvt Ltd</t>
        </is>
      </c>
    </row>
    <row r="4">
      <c r="A4" t="inlineStr">
        <is>
          <t>SP-BETA1-001</t>
        </is>
      </c>
      <c r="B4" t="inlineStr">
        <is>
          <t>BETA1</t>
        </is>
      </c>
      <c r="C4" t="inlineStr">
        <is>
          <t>TF-BETA1-M001</t>
        </is>
      </c>
      <c r="D4" t="inlineStr">
        <is>
          <t>Grinding Wheel 8in</t>
        </is>
      </c>
      <c r="E4" t="inlineStr">
        <is>
          <t>GW-8-A46</t>
        </is>
      </c>
      <c r="F4" t="n">
        <v>6</v>
      </c>
      <c r="G4" t="inlineStr">
        <is>
          <t>pcs</t>
        </is>
      </c>
      <c r="H4" t="n">
        <v>3</v>
      </c>
      <c r="I4" t="inlineStr">
        <is>
          <t>Abrasives India</t>
        </is>
      </c>
    </row>
  </sheetData>
  <dataValidations count="1">
    <dataValidation sqref="C2:C1000" showDropDown="0" showInputMessage="0" showErrorMessage="0" allowBlank="0" type="list">
      <formula1>=Machines!$A$2:$A$1000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22" customWidth="1" min="4" max="4"/>
    <col width="16" customWidth="1" min="5" max="5"/>
    <col width="10" customWidth="1" min="6" max="6"/>
    <col width="14" customWidth="1" min="7" max="7"/>
    <col width="26" customWidth="1" min="8" max="8"/>
  </cols>
  <sheetData>
    <row r="1">
      <c r="A1" s="1" t="inlineStr">
        <is>
          <t>consumable_id</t>
        </is>
      </c>
      <c r="B1" s="1" t="inlineStr">
        <is>
          <t>company_code</t>
        </is>
      </c>
      <c r="C1" s="1" t="inlineStr">
        <is>
          <t>machine_id</t>
        </is>
      </c>
      <c r="D1" s="1" t="inlineStr">
        <is>
          <t>name</t>
        </is>
      </c>
      <c r="E1" s="1" t="inlineStr">
        <is>
          <t>quantity_on_hand</t>
        </is>
      </c>
      <c r="F1" s="1" t="inlineStr">
        <is>
          <t>unit</t>
        </is>
      </c>
      <c r="G1" s="1" t="inlineStr">
        <is>
          <t>reorder_level</t>
        </is>
      </c>
      <c r="H1" s="1" t="inlineStr">
        <is>
          <t>notes</t>
        </is>
      </c>
    </row>
    <row r="2">
      <c r="A2" t="inlineStr">
        <is>
          <t>CON-ACME3-001</t>
        </is>
      </c>
      <c r="B2" t="inlineStr">
        <is>
          <t>ACME3</t>
        </is>
      </c>
      <c r="C2" t="inlineStr">
        <is>
          <t>TF-ACME3-M001</t>
        </is>
      </c>
      <c r="D2" t="inlineStr">
        <is>
          <t>Way Lubricant Oil (ISO VG68)</t>
        </is>
      </c>
      <c r="E2" t="n">
        <v>20</v>
      </c>
      <c r="F2" t="inlineStr">
        <is>
          <t>litres</t>
        </is>
      </c>
      <c r="G2" t="n">
        <v>5</v>
      </c>
      <c r="H2" t="inlineStr">
        <is>
          <t>Top up weekly</t>
        </is>
      </c>
    </row>
    <row r="3">
      <c r="A3" t="inlineStr">
        <is>
          <t>CON-ACME3-002</t>
        </is>
      </c>
      <c r="B3" t="inlineStr">
        <is>
          <t>ACME3</t>
        </is>
      </c>
      <c r="C3" t="inlineStr">
        <is>
          <t>TF-ACME3-M002</t>
        </is>
      </c>
      <c r="D3" t="inlineStr">
        <is>
          <t>Hydraulic Fluid (ISO VG46)</t>
        </is>
      </c>
      <c r="E3" t="n">
        <v>40</v>
      </c>
      <c r="F3" t="inlineStr">
        <is>
          <t>litres</t>
        </is>
      </c>
      <c r="G3" t="n">
        <v>10</v>
      </c>
    </row>
    <row r="4">
      <c r="A4" t="inlineStr">
        <is>
          <t>CON-BETA1-001</t>
        </is>
      </c>
      <c r="B4" t="inlineStr">
        <is>
          <t>BETA1</t>
        </is>
      </c>
      <c r="C4" t="inlineStr">
        <is>
          <t>TF-BETA1-M001</t>
        </is>
      </c>
      <c r="D4" t="inlineStr">
        <is>
          <t>Coolant Concentrate</t>
        </is>
      </c>
      <c r="E4" t="n">
        <v>15</v>
      </c>
      <c r="F4" t="inlineStr">
        <is>
          <t>litres</t>
        </is>
      </c>
      <c r="G4" t="n">
        <v>5</v>
      </c>
    </row>
  </sheetData>
  <dataValidations count="1">
    <dataValidation sqref="C2:C1000" showDropDown="0" showInputMessage="0" showErrorMessage="0" allowBlank="0" type="list">
      <formula1>=Machines!$A$2:$A$1000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0" customWidth="1" min="1" max="1"/>
    <col width="24" customWidth="1" min="2" max="2"/>
  </cols>
  <sheetData>
    <row r="1">
      <c r="A1" s="4" t="inlineStr">
        <is>
          <t>TurboFix Dashboard</t>
        </is>
      </c>
    </row>
    <row r="3">
      <c r="A3" s="5" t="inlineStr">
        <is>
          <t>Select Company:</t>
        </is>
      </c>
      <c r="B3" s="6" t="inlineStr">
        <is>
          <t>ACME3</t>
        </is>
      </c>
    </row>
    <row r="4">
      <c r="A4" t="inlineStr">
        <is>
          <t>Company Name:</t>
        </is>
      </c>
      <c r="B4">
        <f>IFERROR(VLOOKUP(B3,Companies!$A:$B,2,FALSE),"")</f>
        <v/>
      </c>
    </row>
    <row r="6">
      <c r="A6" s="7" t="inlineStr">
        <is>
          <t>Key Metrics</t>
        </is>
      </c>
    </row>
    <row r="7">
      <c r="A7" s="5" t="inlineStr">
        <is>
          <t>Open Tickets</t>
        </is>
      </c>
      <c r="B7">
        <f>COUNTIFS(Tickets!$C:$C,$B$3,Tickets!$J:$J,"Open")</f>
        <v/>
      </c>
    </row>
    <row r="8">
      <c r="A8" s="5" t="inlineStr">
        <is>
          <t>Total Machines</t>
        </is>
      </c>
      <c r="B8">
        <f>COUNTIFS(Machines!$B:$B,$B$3)</f>
        <v/>
      </c>
    </row>
    <row r="9">
      <c r="A9" s="5" t="inlineStr">
        <is>
          <t>Machines Down</t>
        </is>
      </c>
      <c r="B9">
        <f>COUNTIFS(Machines!$B:$B,$B$3,Machines!$I:$I,"&gt;0")</f>
        <v/>
      </c>
    </row>
    <row r="10">
      <c r="A10" s="5" t="inlineStr">
        <is>
          <t>Closed Today</t>
        </is>
      </c>
      <c r="B10">
        <f>COUNTIFS(Tickets!$C:$C,$B$3,Tickets!$J:$J,"Closed",Tickets!$K:$K,"&gt;="&amp;TODAY(),Tickets!$K:$K,"&lt;"&amp;(TODAY()+1))</f>
        <v/>
      </c>
    </row>
    <row r="11">
      <c r="A11" s="5" t="inlineStr">
        <is>
          <t>Total Tickets</t>
        </is>
      </c>
      <c r="B11">
        <f>COUNTIFS(Tickets!$C:$C,$B$3)</f>
        <v/>
      </c>
    </row>
    <row r="12">
      <c r="A12" s="5" t="inlineStr">
        <is>
          <t>Avg Hours to Fix</t>
        </is>
      </c>
      <c r="B12">
        <f>IFERROR(ROUND(AVERAGEIFS(Tickets!$L:$L,Tickets!$C:$C,$B$3,Tickets!$J:$J,"Closed"),1),0)</f>
        <v/>
      </c>
    </row>
    <row r="13">
      <c r="A13" s="5" t="inlineStr">
        <is>
          <t>Plant Health %</t>
        </is>
      </c>
      <c r="B13">
        <f>IFERROR(ROUND((B8-B9)/B8*100,0),100)</f>
        <v/>
      </c>
    </row>
    <row r="15">
      <c r="A15" s="8" t="inlineStr">
        <is>
          <t>Note: this per-company view works via the selector above (anyone with edit access to this file can change it and see any company's numbers). For production, each company owner should only ever see their own filtered view/link (e.g. a protected range + IMPORTRANGE into a company-specific sheet, or a backend-driven web dashboard) rather than direct access to this consolidated workbook.</t>
        </is>
      </c>
    </row>
    <row r="16"/>
    <row r="17"/>
    <row r="18"/>
  </sheetData>
  <mergeCells count="1">
    <mergeCell ref="A15:H18"/>
  </mergeCells>
  <dataValidations count="1">
    <dataValidation sqref="B3" showDropDown="0" showInputMessage="0" showErrorMessage="0" allowBlank="0" type="list">
      <formula1>=Companies!$A$2:$A$1000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company_code</t>
        </is>
      </c>
      <c r="B1" t="inlineStr">
        <is>
          <t>escalation_path_json</t>
        </is>
      </c>
      <c r="C1" t="inlineStr">
        <is>
          <t>custom_roles_json</t>
        </is>
      </c>
      <c r="D1" t="inlineStr">
        <is>
          <t>updated_at</t>
        </is>
      </c>
    </row>
    <row r="2">
      <c r="A2" t="inlineStr">
        <is>
          <t>ACME3</t>
        </is>
      </c>
      <c r="B2" t="inlineStr">
        <is>
          <t>[{"role": "maintenance_technician", "label": "Maintenance Technician", "threshold_hours": 2.0}, {"role": "supervisor", "label": "Maintenance Supervisor", "threshold_hours": 2.0}, {"role": "maintenance_engineer", "label": "Maintenance Engineer", "threshold_hours": 2.0}, {"role": "maintenance_head", "label": "Maintenance Head", "threshold_hours": 2.0}, {"role": "owner", "label": "Owner / Plant Director", "threshold_hours": null}]</t>
        </is>
      </c>
      <c r="C2" t="inlineStr">
        <is>
          <t>[]</t>
        </is>
      </c>
      <c r="D2" t="inlineStr">
        <is>
          <t>2026-07-15T19:12:11.277836+00:00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record_id</t>
        </is>
      </c>
      <c r="B1" t="inlineStr">
        <is>
          <t>document_id</t>
        </is>
      </c>
      <c r="C1" t="inlineStr">
        <is>
          <t>company_code</t>
        </is>
      </c>
      <c r="D1" t="inlineStr">
        <is>
          <t>machine_id</t>
        </is>
      </c>
      <c r="E1" t="inlineStr">
        <is>
          <t>record_type</t>
        </is>
      </c>
      <c r="F1" t="inlineStr">
        <is>
          <t>source_kind</t>
        </is>
      </c>
      <c r="G1" t="inlineStr">
        <is>
          <t>title</t>
        </is>
      </c>
      <c r="H1" t="inlineStr">
        <is>
          <t>status</t>
        </is>
      </c>
      <c r="I1" t="inlineStr">
        <is>
          <t>overall_confidence</t>
        </is>
      </c>
      <c r="J1" t="inlineStr">
        <is>
          <t>extracted_json</t>
        </is>
      </c>
      <c r="K1" t="inlineStr">
        <is>
          <t>review_notes</t>
        </is>
      </c>
      <c r="L1" t="inlineStr">
        <is>
          <t>created_by</t>
        </is>
      </c>
      <c r="M1" t="inlineStr">
        <is>
          <t>created_at</t>
        </is>
      </c>
      <c r="N1" t="inlineStr">
        <is>
          <t>updated_by</t>
        </is>
      </c>
      <c r="O1" t="inlineStr">
        <is>
          <t>updated_at</t>
        </is>
      </c>
      <c r="P1" t="inlineStr">
        <is>
          <t>approved_by</t>
        </is>
      </c>
      <c r="Q1" t="inlineStr">
        <is>
          <t>approved_at</t>
        </is>
      </c>
      <c r="R1" t="inlineStr">
        <is>
          <t>version</t>
        </is>
      </c>
      <c r="S1" t="inlineStr">
        <is>
          <t>file_hash</t>
        </is>
      </c>
      <c r="T1" t="inlineStr">
        <is>
          <t>history_json</t>
        </is>
      </c>
    </row>
    <row r="2">
      <c r="A2" t="inlineStr">
        <is>
          <t>REC-20260716041441-81db</t>
        </is>
      </c>
      <c r="B2" t="inlineStr">
        <is>
          <t>DOC-20260716041424-c940</t>
        </is>
      </c>
      <c r="C2" t="inlineStr">
        <is>
          <t>ACME3</t>
        </is>
      </c>
      <c r="D2" t="inlineStr">
        <is>
          <t>TF-ACME3-M001</t>
        </is>
      </c>
      <c r="E2" t="inlineStr">
        <is>
          <t>service_history</t>
        </is>
      </c>
      <c r="F2" t="inlineStr">
        <is>
          <t>handwritten</t>
        </is>
      </c>
      <c r="G2" t="inlineStr">
        <is>
          <t>CNC Lathe service register — July 2026</t>
        </is>
      </c>
      <c r="H2" t="inlineStr">
        <is>
          <t>approved</t>
        </is>
      </c>
      <c r="I2" t="n">
        <v>77</v>
      </c>
      <c r="J2" t="inlineStr">
        <is>
          <t>{"summary": "Verified service entry for abnormal spindle vibration and lubrication renewal.", "machine_identity": {"manufacturer": {"value": "", "confidence": 0, "source": ""}, "model": {"value": "CNC Lathe", "confidence": 100, "source": "CNC Lathe 1 Service Register heading"}, "serial_number": {"value": "1", "confidence": 100, "source": "CNC Lathe 1 Service Register heading"}, "year": {"value": "", "confidence": 0, "source": ""}}, "specifications": [], "maintenance_tasks": [], "spare_parts": [], "consumables": [{"name": "{'value': 'lubricant', 'confidence': 100, 'source': 'Work performed label'}", "specification": "{'value': 'ISO VG 68', 'confidence': 100, 'source': 'Work performed label'}", "quantity": "{'value': '', 'confidence': 0, 'source': ''}", "unit": "{'value': '', 'confidence': 0, 'source': ''}", "replacement_interval": "{'value': '', 'confidence': 0, 'source': ''}", "confidence": 0, "source": ""}], "service_history": [{"date": "2026-07-15", "issue": "Spindle vibration above normal level", "work_performed": "Cleaned spindle housing and renewed ISO VG 68 lubricant", "technician": "S. Patil", "hours": "2", "parts_used": "ISO VG 68 lubricant", "confidence": 96, "source": "Service register entry dated 15 July 2026"}], "risks": [{"risk": "Bearing noise noticed at 1200 RPM", "recommended_action": "Inspect bearing condition during next planned stop", "confidence": 88, "source": "Inspection note in service register"}], "source_notes": ["Next check: 22 July 2026 (from Next check label)"]}</t>
        </is>
      </c>
      <c r="K2" t="inlineStr">
        <is>
          <t>Approved for maintenance AI context.</t>
        </is>
      </c>
      <c r="L2" t="inlineStr">
        <is>
          <t>U-ACME3-002</t>
        </is>
      </c>
      <c r="M2" t="inlineStr">
        <is>
          <t>2026-07-16T04:14:24.413173+00:00</t>
        </is>
      </c>
      <c r="N2" t="inlineStr">
        <is>
          <t>U-ACME3-002</t>
        </is>
      </c>
      <c r="O2" t="inlineStr">
        <is>
          <t>2026-07-16T04:15:32.198799+00:00</t>
        </is>
      </c>
      <c r="P2" t="inlineStr">
        <is>
          <t>U-ACME3-002</t>
        </is>
      </c>
      <c r="Q2" t="inlineStr">
        <is>
          <t>2026-07-16T04:15:32.198799+00:00</t>
        </is>
      </c>
      <c r="R2" t="n">
        <v>2</v>
      </c>
      <c r="S2" t="inlineStr">
        <is>
          <t>82c6c5ee18fd0010a51769c727cd707e8e49018775af5ff2fe96d57c5f8ecc5e</t>
        </is>
      </c>
      <c r="T2" t="inlineStr">
        <is>
          <t>[{"action": "uploaded_and_extracted", "by": "U-ACME3-002", "name": "Vikram Naik", "role": "maintenance_head", "at": "2026-07-16T04:14:41.215698+00:00", "note": ""}, {"action": "draft_updated", "by": "U-ACME3-002", "name": "Vikram Naik", "role": "maintenance_head", "at": "2026-07-16T04:15:32.137442+00:00", "note": "Checked against signed service entry."}, {"action": "approved", "by": "U-ACME3-002", "name": "Vikram Naik", "role": "maintenance_head", "at": "2026-07-16T04:15:32.198793+00:00", "note": "Approved for maintenance AI context."}]</t>
        </is>
      </c>
    </row>
    <row r="3">
      <c r="A3" t="inlineStr">
        <is>
          <t>REC-20260716041555-1a7c</t>
        </is>
      </c>
      <c r="B3" t="inlineStr">
        <is>
          <t>DOC-20260716041532-54e4</t>
        </is>
      </c>
      <c r="C3" t="inlineStr">
        <is>
          <t>ACME3</t>
        </is>
      </c>
      <c r="D3" t="inlineStr">
        <is>
          <t>TF-ACME3-M002</t>
        </is>
      </c>
      <c r="E3" t="inlineStr">
        <is>
          <t>inspection</t>
        </is>
      </c>
      <c r="F3" t="inlineStr">
        <is>
          <t>handwritten</t>
        </is>
      </c>
      <c r="G3" t="inlineStr">
        <is>
          <t>Hydraulic press handwritten inspection</t>
        </is>
      </c>
      <c r="H3" t="inlineStr">
        <is>
          <t>rejected</t>
        </is>
      </c>
      <c r="I3" t="n">
        <v>42</v>
      </c>
      <c r="J3" t="inlineStr">
        <is>
          <t>{"summary":"Handwritten inspection with an uncertain pressure reading and a possible cracked hose.","machine_identity":{"manufacturer":{"value":"","confidence":0,"source":""},"model":{"value":"","confidence":0,"source":""},"serial_number":{"value":"","confidence":0,"source":""},"year":{"value":"","confidence":0,"source":""}},"specifications":[{"name":"Pressure reading","value":"145","unit":"bar","confidence":38,"source":"Handwritten pressure field; digits unclear"}],"maintenance_tasks":[],"spare_parts":[],"consumables":[],"service_history":[],"risks":[{"risk":"Possible surface cracking on hose near cylinder","recommended_action":"Physically inspect and isolate the press if reinforcement is exposed","confidence":46,"source":"Handwritten hose inspection note"}],"source_notes":["Two fields require physical verification before approval."]}</t>
        </is>
      </c>
      <c r="K3" t="inlineStr">
        <is>
          <t>Pressure value and hose condition require floor verification.</t>
        </is>
      </c>
      <c r="L3" t="inlineStr">
        <is>
          <t>U-ACME3-002</t>
        </is>
      </c>
      <c r="M3" t="inlineStr">
        <is>
          <t>2026-07-16T04:15:32.364396+00:00</t>
        </is>
      </c>
      <c r="N3" t="inlineStr">
        <is>
          <t>U-ACME3-002</t>
        </is>
      </c>
      <c r="O3" t="inlineStr">
        <is>
          <t>2026-07-16T05:39:02.775184+00:00</t>
        </is>
      </c>
      <c r="R3" t="n">
        <v>4</v>
      </c>
      <c r="S3" t="inlineStr">
        <is>
          <t>c7bb164374fd283c1862d2afd3b9ab2675bfddbb48a2fcca06c2b8febb6be500</t>
        </is>
      </c>
      <c r="T3" t="inlineStr">
        <is>
          <t>[{"action":"uploaded_and_extracted","by":"U-ACME3-002","name":"Vikram Naik","role":"maintenance_head","at":"2026-07-16T04:15:55.971830+00:00","note":""},{"action":"draft_updated","by":"U-ACME3-002","name":"Vikram Naik","role":"maintenance_head","at":"2026-07-16T04:15:56.036638+00:00","note":"Pressure value and hose condition require floor verification."},{"action":"draft_updated","by":"U-ACME3-002","name":"Vikram Naik","role":"maintenance_head","at":"2026-07-16T04:23:12.707590+00:00","note":"Pressure value and hose condition require floor verification."},{"action":"draft_updated","by":"U-ACME3-002","name":"Vikram Naik","role":"maintenance_head","at":"2026-07-16T05:39:02.697429+00:00","note":"Pressure value and hose condition require floor verification."},{"action":"rejected","by":"U-ACME3-002","name":"Vikram Naik","role":"maintenance_head","at":"2026-07-16T05:39:02.775168+00:00","note":"Pressure value and hose condition require floor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2026-07-09T20:52:11Z</dcterms:created>
  <dcterms:modified xsi:type="dcterms:W3CDTF">2026-08-03T13:36:56Z</dcterms:modified>
</cp:coreProperties>
</file>