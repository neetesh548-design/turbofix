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nies" sheetId="1" state="visible" r:id="rId1"/>
    <sheet xmlns:r="http://schemas.openxmlformats.org/officeDocument/2006/relationships" name="Machines" sheetId="2" state="visible" r:id="rId2"/>
    <sheet xmlns:r="http://schemas.openxmlformats.org/officeDocument/2006/relationships" name="Tickets" sheetId="3" state="visible" r:id="rId3"/>
    <sheet xmlns:r="http://schemas.openxmlformats.org/officeDocument/2006/relationships" name="MachineEvents" sheetId="4" state="visible" r:id="rId4"/>
    <sheet xmlns:r="http://schemas.openxmlformats.org/officeDocument/2006/relationships" name="Users" sheetId="5" state="visible" r:id="rId5"/>
    <sheet xmlns:r="http://schemas.openxmlformats.org/officeDocument/2006/relationships" name="Documents" sheetId="6" state="visible" r:id="rId6"/>
    <sheet xmlns:r="http://schemas.openxmlformats.org/officeDocument/2006/relationships" name="SpareParts" sheetId="7" state="visible" r:id="rId7"/>
    <sheet xmlns:r="http://schemas.openxmlformats.org/officeDocument/2006/relationships" name="Consumables" sheetId="8" state="visible" r:id="rId8"/>
    <sheet xmlns:r="http://schemas.openxmlformats.org/officeDocument/2006/relationships" name="Dashboard" sheetId="9" state="visible" r:id="rId9"/>
    <sheet xmlns:r="http://schemas.openxmlformats.org/officeDocument/2006/relationships" name="Settings" sheetId="10" state="visible" r:id="rId10"/>
  </sheets>
  <definedNames/>
  <calcPr calcId="124519" fullCalcOnLoad="1"/>
</workbook>
</file>

<file path=xl/styles.xml><?xml version="1.0" encoding="utf-8"?>
<styleSheet xmlns="http://schemas.openxmlformats.org/spreadsheetml/2006/main">
  <numFmts count="2">
    <numFmt numFmtId="164" formatCode="yyyy-mm-dd"/>
    <numFmt numFmtId="165"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9" t="n">
        <v>46037</v>
      </c>
      <c r="E2" t="n">
        <v>5</v>
      </c>
      <c r="F2" t="inlineStr">
        <is>
          <t>yes</t>
        </is>
      </c>
    </row>
    <row r="3">
      <c r="A3" t="inlineStr">
        <is>
          <t>BETA1</t>
        </is>
      </c>
      <c r="B3" t="inlineStr">
        <is>
          <t>Beta Precision Works</t>
        </is>
      </c>
      <c r="C3" t="inlineStr">
        <is>
          <t>+919820098765</t>
        </is>
      </c>
      <c r="D3" s="9" t="n">
        <v>46082</v>
      </c>
      <c r="E3" t="n">
        <v>3</v>
      </c>
      <c r="F3"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10"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O2" t="inlineStr">
        <is>
          <t>hi</t>
        </is>
      </c>
    </row>
    <row r="3">
      <c r="A3" t="inlineStr">
        <is>
          <t>T002</t>
        </is>
      </c>
      <c r="B3" t="inlineStr">
        <is>
          <t>TF-ACME3-M002</t>
        </is>
      </c>
      <c r="C3">
        <f>VLOOKUP(B3,Machines!$A:$C,2,FALSE)</f>
        <v/>
      </c>
      <c r="D3">
        <f>VLOOKUP(B3,Machines!$A:$C,3,FALSE)</f>
        <v/>
      </c>
      <c r="E3" s="10"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10" t="n">
        <v>46209.58333333334</v>
      </c>
      <c r="L3">
        <f>IF(J3="Closed",(K3-E3)*24,"")</f>
        <v/>
      </c>
      <c r="O3" t="inlineStr">
        <is>
          <t>en</t>
        </is>
      </c>
      <c r="P3" t="inlineStr">
        <is>
          <t>+919820012345</t>
        </is>
      </c>
    </row>
    <row r="4">
      <c r="A4" t="inlineStr">
        <is>
          <t>T003</t>
        </is>
      </c>
      <c r="B4" t="inlineStr">
        <is>
          <t>TF-BETA1-M001</t>
        </is>
      </c>
      <c r="C4">
        <f>VLOOKUP(B4,Machines!$A:$C,2,FALSE)</f>
        <v/>
      </c>
      <c r="D4">
        <f>VLOOKUP(B4,Machines!$A:$C,3,FALSE)</f>
        <v/>
      </c>
      <c r="E4" s="10"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10" t="n">
        <v>46210.47916666666</v>
      </c>
      <c r="L4">
        <f>IF(J4="Closed",(K4-E4)*24,"")</f>
        <v/>
      </c>
      <c r="O4" t="inlineStr">
        <is>
          <t>en</t>
        </is>
      </c>
      <c r="P4" t="inlineStr">
        <is>
          <t>+919820098765</t>
        </is>
      </c>
    </row>
    <row r="5">
      <c r="A5" t="inlineStr">
        <is>
          <t>T004</t>
        </is>
      </c>
      <c r="B5" t="inlineStr">
        <is>
          <t>TF-BETA1-M002</t>
        </is>
      </c>
      <c r="C5">
        <f>VLOOKUP(B5,Machines!$A:$C,2,FALSE)</f>
        <v/>
      </c>
      <c r="D5">
        <f>VLOOKUP(B5,Machines!$A:$C,3,FALSE)</f>
        <v/>
      </c>
      <c r="E5" s="10"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O5" t="inlineStr">
        <is>
          <t>en</t>
        </is>
      </c>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10"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9"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9"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9"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9"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9" t="n">
        <v>46083</v>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9"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9"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9"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9"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9" t="n">
        <v>46210</v>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row>
    <row r="4">
      <c r="A4" t="inlineStr">
        <is>
          <t>CON-BETA1-001</t>
        </is>
      </c>
      <c r="B4" t="inlineStr">
        <is>
          <t>BETA1</t>
        </is>
      </c>
      <c r="C4" t="inlineStr">
        <is>
          <t>TF-BETA1-M001</t>
        </is>
      </c>
      <c r="D4" t="inlineStr">
        <is>
          <t>Coolant Concentrate</t>
        </is>
      </c>
      <c r="E4" t="n">
        <v>15</v>
      </c>
      <c r="F4" t="inlineStr">
        <is>
          <t>litres</t>
        </is>
      </c>
      <c r="G4" t="n">
        <v>5</v>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sheetData>
    <row r="1">
      <c r="A1" t="inlineStr">
        <is>
          <t>company_code</t>
        </is>
      </c>
      <c r="B1" t="inlineStr">
        <is>
          <t>escalation_path_json</t>
        </is>
      </c>
      <c r="C1" t="inlineStr">
        <is>
          <t>custom_roles_json</t>
        </is>
      </c>
      <c r="D1" t="inlineStr">
        <is>
          <t>updated_at</t>
        </is>
      </c>
    </row>
    <row r="2">
      <c r="A2" t="inlineStr">
        <is>
          <t>ACME3</t>
        </is>
      </c>
      <c r="B2" t="inlineStr">
        <is>
          <t>[{"role": "maintenance_technician", "label": "Maintenance Technician", "threshold_hours": 2.0}, {"role": "supervisor", "label": "Maintenance Supervisor", "threshold_hours": 2.0}, {"role": "maintenance_engineer", "label": "Maintenance Engineer", "threshold_hours": 2.0}, {"role": "maintenance_head", "label": "Maintenance Head", "threshold_hours": 2.0}, {"role": "owner", "label": "Owner / Plant Director", "threshold_hours": null}]</t>
        </is>
      </c>
      <c r="C2" t="inlineStr">
        <is>
          <t>[]</t>
        </is>
      </c>
      <c r="D2" t="inlineStr">
        <is>
          <t>2026-07-15T19:12:11.277836+00:00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2026-07-09T20:52:11Z</dcterms:created>
  <dcterms:modified xmlns:dcterms="http://purl.org/dc/terms/" xmlns:xsi="http://www.w3.org/2001/XMLSchema-instance" xsi:type="dcterms:W3CDTF">2026-07-15T19:12:11Z</dcterms:modified>
</cp:coreProperties>
</file>